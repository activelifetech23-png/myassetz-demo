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tirement Goal Planner" sheetId="1" state="visible" r:id="rId1"/>
    <sheet xmlns:r="http://schemas.openxmlformats.org/officeDocument/2006/relationships" name="Budgeting Tool" sheetId="2" state="visible" r:id="rId2"/>
    <sheet xmlns:r="http://schemas.openxmlformats.org/officeDocument/2006/relationships" name="Financial Plan Progress" sheetId="3" state="visible" r:id="rId3"/>
    <sheet xmlns:r="http://schemas.openxmlformats.org/officeDocument/2006/relationships" name="Dashboard" sheetId="4" state="visible" r:id="rId4"/>
  </sheets>
  <definedNames>
    <definedName name="_xlnm._FilterDatabase" localSheetId="1" hidden="1">'Budgeting Tool'!$A$18:$J$144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₹#,##0.00;[RED]&quot;-₹&quot;#,##0.00"/>
    <numFmt numFmtId="165" formatCode="0.00\%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5"/>
    </font>
    <font>
      <name val="Calibri"/>
      <charset val="1"/>
      <family val="0"/>
      <i val="1"/>
      <color rgb="FF000000"/>
      <sz val="10"/>
    </font>
    <font>
      <name val="Cambria"/>
      <charset val="1"/>
      <family val="0"/>
      <b val="1"/>
      <color rgb="FF000000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0000FF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i val="1"/>
      <color rgb="FF000000"/>
      <sz val="9"/>
    </font>
    <font>
      <name val="Calibri"/>
      <charset val="1"/>
      <family val="0"/>
      <b val="1"/>
      <color rgb="FF000000"/>
      <sz val="12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sz val="14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sz val="13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b val="1"/>
      <color rgb="FFFFFFFF"/>
      <sz val="2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70AD47"/>
        <bgColor rgb="FF809B49"/>
      </patternFill>
    </fill>
    <fill>
      <patternFill patternType="solid">
        <fgColor rgb="FFA9D18E"/>
        <bgColor rgb="FFC5D6AC"/>
      </patternFill>
    </fill>
    <fill>
      <patternFill patternType="solid">
        <fgColor rgb="FFFFFF00"/>
        <bgColor rgb="FFFFF200"/>
      </patternFill>
    </fill>
    <fill>
      <patternFill patternType="solid">
        <fgColor rgb="FFD9EAD3"/>
        <bgColor rgb="FFD9D9D9"/>
      </patternFill>
    </fill>
    <fill>
      <patternFill patternType="solid">
        <fgColor rgb="FF92D050"/>
        <bgColor rgb="FF9BBB59"/>
      </patternFill>
    </fill>
    <fill>
      <patternFill patternType="solid">
        <fgColor rgb="FFFFF200"/>
        <bgColor rgb="FFFFFF00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1" fillId="6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 wrapText="1"/>
    </xf>
    <xf numFmtId="164" fontId="11" fillId="6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wrapText="1"/>
    </xf>
    <xf numFmtId="164" fontId="12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15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center"/>
    </xf>
    <xf numFmtId="164" fontId="0" fillId="0" borderId="2" applyAlignment="1" pivotButton="0" quotePrefix="0" xfId="0">
      <alignment horizontal="general" vertical="center"/>
    </xf>
    <xf numFmtId="164" fontId="0" fillId="0" borderId="0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164" fontId="15" fillId="5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general" vertical="bottom"/>
    </xf>
    <xf numFmtId="0" fontId="15" fillId="6" borderId="2" applyAlignment="1" pivotButton="0" quotePrefix="0" xfId="0">
      <alignment horizontal="left" vertical="center" wrapText="1"/>
    </xf>
    <xf numFmtId="164" fontId="15" fillId="6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general" vertical="bottom"/>
    </xf>
    <xf numFmtId="164" fontId="17" fillId="2" borderId="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164" fontId="16" fillId="5" borderId="2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center" wrapText="1"/>
    </xf>
    <xf numFmtId="164" fontId="0" fillId="0" borderId="2" applyAlignment="1" pivotButton="0" quotePrefix="0" xfId="0">
      <alignment horizontal="general" vertical="center" wrapText="1"/>
    </xf>
    <xf numFmtId="0" fontId="15" fillId="7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164" fontId="0" fillId="5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8" fillId="4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164" fontId="11" fillId="6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 wrapText="1"/>
    </xf>
    <xf numFmtId="164" fontId="11" fillId="6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wrapText="1"/>
    </xf>
    <xf numFmtId="164" fontId="12" fillId="2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general" vertical="center"/>
    </xf>
    <xf numFmtId="164" fontId="0" fillId="0" borderId="2" applyAlignment="1" pivotButton="0" quotePrefix="0" xfId="0">
      <alignment horizontal="general" vertical="center"/>
    </xf>
    <xf numFmtId="164" fontId="0" fillId="0" borderId="0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164" fontId="15" fillId="5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5" fillId="6" borderId="2" applyAlignment="1" pivotButton="0" quotePrefix="0" xfId="0">
      <alignment horizontal="general" vertical="bottom"/>
    </xf>
    <xf numFmtId="0" fontId="15" fillId="6" borderId="2" applyAlignment="1" pivotButton="0" quotePrefix="0" xfId="0">
      <alignment horizontal="left" vertical="center" wrapText="1"/>
    </xf>
    <xf numFmtId="164" fontId="15" fillId="6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left" vertical="center" wrapText="1"/>
    </xf>
    <xf numFmtId="0" fontId="17" fillId="2" borderId="2" applyAlignment="1" pivotButton="0" quotePrefix="0" xfId="0">
      <alignment horizontal="general" vertical="bottom"/>
    </xf>
    <xf numFmtId="164" fontId="17" fillId="2" borderId="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center" vertical="center" wrapText="1"/>
    </xf>
    <xf numFmtId="164" fontId="16" fillId="5" borderId="2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center" wrapText="1"/>
    </xf>
    <xf numFmtId="164" fontId="0" fillId="0" borderId="2" applyAlignment="1" pivotButton="0" quotePrefix="0" xfId="0">
      <alignment horizontal="general" vertical="center" wrapText="1"/>
    </xf>
    <xf numFmtId="0" fontId="15" fillId="7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164" fontId="0" fillId="5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70AD47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808080"/>
      <rgbColor rgb="FF9BBB59"/>
      <rgbColor rgb="FF9F423F"/>
      <rgbColor rgb="FFFFFFCC"/>
      <rgbColor rgb="FFC5D6AC"/>
      <rgbColor rgb="FF660066"/>
      <rgbColor rgb="FFCC7C3A"/>
      <rgbColor rgb="FF0066CC"/>
      <rgbColor rgb="FFD9D9D9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A9D18E"/>
      <rgbColor rgb="FFD9EAD3"/>
      <rgbColor rgb="FFFFFF99"/>
      <rgbColor rgb="FFAABAD7"/>
      <rgbColor rgb="FFD8AAA9"/>
      <rgbColor rgb="FFB9AFC9"/>
      <rgbColor rgb="FFF4CCCC"/>
      <rgbColor rgb="FF416A9C"/>
      <rgbColor rgb="FF4BACC6"/>
      <rgbColor rgb="FF92D050"/>
      <rgbColor rgb="FFFFCC00"/>
      <rgbColor rgb="FFF79646"/>
      <rgbColor rgb="FFFF6600"/>
      <rgbColor rgb="FF8064A2"/>
      <rgbColor rgb="FF809B49"/>
      <rgbColor rgb="FF003366"/>
      <rgbColor rgb="FF3E8EA4"/>
      <rgbColor rgb="FF003300"/>
      <rgbColor rgb="FF333300"/>
      <rgbColor rgb="FF993300"/>
      <rgbColor rgb="FFC0504D"/>
      <rgbColor rgb="FF6A528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Expenses by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Dashboard!B9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16a9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f423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09b4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6a528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3e8ea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c7c3a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f7964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aabad7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d8aaa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c5d6ac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5"/>
            <spPr>
              <a:solidFill xmlns:a="http://schemas.openxmlformats.org/drawingml/2006/main">
                <a:srgbClr val="b9afc9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Dashboard!$A$10:$A$25</f>
              <strCache>
                <ptCount val="16"/>
                <pt idx="0">
                  <v>Housing</v>
                </pt>
                <pt idx="1">
                  <v>Food</v>
                </pt>
                <pt idx="2">
                  <v>Children</v>
                </pt>
                <pt idx="3">
                  <v>Communication</v>
                </pt>
                <pt idx="4">
                  <v>Transportation</v>
                </pt>
                <pt idx="5">
                  <v>Entertainment</v>
                </pt>
                <pt idx="6">
                  <v>Supports to dependents</v>
                </pt>
                <pt idx="7">
                  <v>Personal Care</v>
                </pt>
                <pt idx="8">
                  <v>Replacement expenses</v>
                </pt>
                <pt idx="9">
                  <v>Taxes - all</v>
                </pt>
                <pt idx="10">
                  <v>Savings or Investments</v>
                </pt>
                <pt idx="11">
                  <v>Loans repayment</v>
                </pt>
                <pt idx="12">
                  <v>Insurance</v>
                </pt>
                <pt idx="13">
                  <v>Personal</v>
                </pt>
                <pt idx="14">
                  <v>Charity</v>
                </pt>
                <pt idx="15">
                  <v>Others</v>
                </pt>
              </strCache>
            </strRef>
          </cat>
          <val>
            <numRef>
              <f>Dashboard!$B$10:$B$25</f>
              <numCache>
                <formatCode>\₹#,##0.00;[RED]"-₹"#,##0.00</formatCode>
                <ptCount val="1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7</row>
      <rowOff>10800</rowOff>
    </from>
    <to>
      <col>6</col>
      <colOff>387000</colOff>
      <row>24</row>
      <rowOff>11520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70AD47"/>
    <outlinePr summaryBelow="1" summaryRight="1"/>
    <pageSetUpPr fitToPage="1"/>
  </sheetPr>
  <dimension ref="A1:G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8" min="1" max="1"/>
    <col width="46" customWidth="1" style="58" min="2" max="2"/>
    <col width="6" customWidth="1" style="58" min="3" max="5"/>
    <col width="20" customWidth="1" style="58" min="6" max="6"/>
    <col width="22" customWidth="1" style="58" min="7" max="7"/>
  </cols>
  <sheetData>
    <row r="1" ht="30" customHeight="1" s="59">
      <c r="A1" s="60" t="inlineStr">
        <is>
          <t>FINANCIAL GOAL PLANNER — RETIREMENT CORPUS WITH VARIABLE ASSET ALLOCATION</t>
        </is>
      </c>
    </row>
    <row r="2" ht="18" customHeight="1" s="59">
      <c r="A2" s="61" t="inlineStr">
        <is>
          <t>Enter your numbers only in the YELLOW cells (blue text). Every other cell recalculates automatically.</t>
        </is>
      </c>
    </row>
    <row r="4" ht="19.5" customHeight="1" s="59">
      <c r="A4" s="62" t="inlineStr">
        <is>
          <t>1.  Retirement Expense Estimation &amp; Corpus Required</t>
        </is>
      </c>
    </row>
    <row r="5" ht="15" customHeight="1" s="59">
      <c r="A5" s="63" t="n">
        <v>1</v>
      </c>
      <c r="B5" s="64" t="inlineStr">
        <is>
          <t>Current monthly expenses that will persist in retirement (₹)</t>
        </is>
      </c>
      <c r="C5" s="65" t="n"/>
      <c r="D5" s="65" t="n"/>
      <c r="E5" s="66" t="n"/>
      <c r="F5" s="67" t="n">
        <v>60000</v>
      </c>
    </row>
    <row r="6" ht="15" customHeight="1" s="59">
      <c r="A6" s="63" t="n">
        <v>2</v>
      </c>
      <c r="B6" s="64" t="inlineStr">
        <is>
          <t>Annual expenses that will persist in retirement (₹)</t>
        </is>
      </c>
      <c r="C6" s="65" t="n"/>
      <c r="D6" s="65" t="n"/>
      <c r="E6" s="66" t="n"/>
      <c r="F6" s="67" t="n">
        <v>100000</v>
      </c>
    </row>
    <row r="7" ht="15" customHeight="1" s="59">
      <c r="A7" s="63" t="n">
        <v>3</v>
      </c>
      <c r="B7" s="64" t="inlineStr">
        <is>
          <t>Total average monthly expenses (annual / 12)</t>
        </is>
      </c>
      <c r="C7" s="65" t="n"/>
      <c r="D7" s="65" t="n"/>
      <c r="E7" s="66" t="n"/>
      <c r="F7" s="68">
        <f>F5+F6/12</f>
        <v/>
      </c>
    </row>
    <row r="8" ht="15" customHeight="1" s="59">
      <c r="A8" s="63" t="n">
        <v>4</v>
      </c>
      <c r="B8" s="64" t="inlineStr">
        <is>
          <t>Inflation before retirement (%)</t>
        </is>
      </c>
      <c r="C8" s="65" t="n"/>
      <c r="D8" s="65" t="n"/>
      <c r="E8" s="66" t="n"/>
      <c r="F8" s="69" t="n">
        <v>6</v>
      </c>
    </row>
    <row r="9" ht="15" customHeight="1" s="59">
      <c r="A9" s="63" t="n">
        <v>5</v>
      </c>
      <c r="B9" s="64" t="inlineStr">
        <is>
          <t>Current age (years)</t>
        </is>
      </c>
      <c r="C9" s="65" t="n"/>
      <c r="D9" s="65" t="n"/>
      <c r="E9" s="66" t="n"/>
      <c r="F9" s="70" t="n">
        <v>35</v>
      </c>
    </row>
    <row r="10" ht="15" customHeight="1" s="59">
      <c r="A10" s="63" t="n">
        <v>6</v>
      </c>
      <c r="B10" s="64" t="inlineStr">
        <is>
          <t>Age you wish to retire (years)</t>
        </is>
      </c>
      <c r="C10" s="65" t="n"/>
      <c r="D10" s="65" t="n"/>
      <c r="E10" s="66" t="n"/>
      <c r="F10" s="70" t="n">
        <v>60</v>
      </c>
    </row>
    <row r="11" ht="15" customHeight="1" s="59">
      <c r="A11" s="63" t="n">
        <v>7</v>
      </c>
      <c r="B11" s="64" t="inlineStr">
        <is>
          <t>No. of years you expect to live (life expectancy, age)</t>
        </is>
      </c>
      <c r="C11" s="65" t="n"/>
      <c r="D11" s="65" t="n"/>
      <c r="E11" s="66" t="n"/>
      <c r="F11" s="70" t="n">
        <v>85</v>
      </c>
    </row>
    <row r="12" ht="15" customHeight="1" s="59">
      <c r="A12" s="63" t="n">
        <v>8</v>
      </c>
      <c r="B12" s="64" t="inlineStr">
        <is>
          <t>Years to retirement</t>
        </is>
      </c>
      <c r="C12" s="65" t="n"/>
      <c r="D12" s="65" t="n"/>
      <c r="E12" s="66" t="n"/>
      <c r="F12" s="71">
        <f>F10-F9</f>
        <v/>
      </c>
    </row>
    <row r="13" ht="15" customHeight="1" s="59">
      <c r="A13" s="63" t="n">
        <v>9</v>
      </c>
      <c r="B13" s="64" t="inlineStr">
        <is>
          <t>Monthly expenses in first year of retirement</t>
        </is>
      </c>
      <c r="C13" s="65" t="n"/>
      <c r="D13" s="65" t="n"/>
      <c r="E13" s="66" t="n"/>
      <c r="F13" s="68">
        <f>F7*(1+F8/100)^F12</f>
        <v/>
      </c>
    </row>
    <row r="14" ht="15" customHeight="1" s="59">
      <c r="A14" s="63" t="n">
        <v>10</v>
      </c>
      <c r="B14" s="64" t="inlineStr">
        <is>
          <t>Years in retirement</t>
        </is>
      </c>
      <c r="C14" s="65" t="n"/>
      <c r="D14" s="65" t="n"/>
      <c r="E14" s="66" t="n"/>
      <c r="F14" s="71">
        <f>F11-F10</f>
        <v/>
      </c>
    </row>
    <row r="15" ht="15" customHeight="1" s="59">
      <c r="A15" s="63" t="n">
        <v>11</v>
      </c>
      <c r="B15" s="64" t="inlineStr">
        <is>
          <t>Inflation during retirement (%)</t>
        </is>
      </c>
      <c r="C15" s="65" t="n"/>
      <c r="D15" s="65" t="n"/>
      <c r="E15" s="66" t="n"/>
      <c r="F15" s="69" t="n">
        <v>5</v>
      </c>
    </row>
    <row r="16" ht="15" customHeight="1" s="59">
      <c r="A16" s="63" t="n">
        <v>12</v>
      </c>
      <c r="B16" s="64" t="inlineStr">
        <is>
          <t>Post-tax average return from retirement corpus (%)</t>
        </is>
      </c>
      <c r="C16" s="65" t="n"/>
      <c r="D16" s="65" t="n"/>
      <c r="E16" s="66" t="n"/>
      <c r="F16" s="69" t="n">
        <v>6</v>
      </c>
    </row>
    <row r="17" ht="22.35" customHeight="1" s="59">
      <c r="A17" s="72" t="n"/>
      <c r="B17" s="73" t="inlineStr">
        <is>
          <t>Note: keep this at a conservative/low number — it is the return earned on the corpus AFTER you retire.</t>
        </is>
      </c>
      <c r="F17" s="72" t="n"/>
      <c r="G17" s="72" t="n"/>
    </row>
    <row r="18" ht="15" customHeight="1" s="59">
      <c r="A18" s="74" t="n">
        <v>13</v>
      </c>
      <c r="B18" s="75" t="inlineStr">
        <is>
          <t>TOTAL CORPUS REQUIRED AT RETIREMENT</t>
        </is>
      </c>
      <c r="C18" s="65" t="n"/>
      <c r="D18" s="65" t="n"/>
      <c r="E18" s="66" t="n"/>
      <c r="F18" s="76">
        <f>IF(F16=F15,F13*12*F14/(1+F16/100),F13*12*(1-((1+F15/100)/(1+F16/100))^F14)/((F16-F15)/100))</f>
        <v/>
      </c>
    </row>
    <row r="20" ht="19.5" customHeight="1" s="59">
      <c r="A20" s="62" t="inlineStr">
        <is>
          <t>2.  Post-Tax Return Assumptions (for current &amp; future investments)</t>
        </is>
      </c>
    </row>
    <row r="21" ht="15" customHeight="1" s="59">
      <c r="A21" s="63" t="n">
        <v>14</v>
      </c>
      <c r="B21" s="64" t="inlineStr">
        <is>
          <t>Post-tax return expected from equity investments (%)</t>
        </is>
      </c>
      <c r="C21" s="65" t="n"/>
      <c r="D21" s="65" t="n"/>
      <c r="E21" s="66" t="n"/>
      <c r="F21" s="69" t="n">
        <v>10</v>
      </c>
    </row>
    <row r="22" ht="15" customHeight="1" s="59">
      <c r="A22" s="63" t="n">
        <v>15</v>
      </c>
      <c r="B22" s="64" t="inlineStr">
        <is>
          <t>Post-tax return expected from current taxable fixed income (%)</t>
        </is>
      </c>
      <c r="C22" s="65" t="n"/>
      <c r="D22" s="65" t="n"/>
      <c r="E22" s="66" t="n"/>
      <c r="F22" s="69" t="n">
        <v>6</v>
      </c>
    </row>
    <row r="23" ht="15" customHeight="1" s="59">
      <c r="A23" s="72" t="n"/>
      <c r="B23" s="73" t="inlineStr">
        <is>
          <t>Note: FD, debt fund, etc.</t>
        </is>
      </c>
      <c r="F23" s="72" t="n"/>
      <c r="G23" s="72" t="n"/>
    </row>
    <row r="24" ht="15" customHeight="1" s="59">
      <c r="A24" s="63" t="n">
        <v>16</v>
      </c>
      <c r="B24" s="64" t="inlineStr">
        <is>
          <t>Rate of return expected from current tax-free fixed income (%)</t>
        </is>
      </c>
      <c r="C24" s="65" t="n"/>
      <c r="D24" s="65" t="n"/>
      <c r="E24" s="66" t="n"/>
      <c r="F24" s="69" t="n">
        <v>7</v>
      </c>
    </row>
    <row r="25" ht="15" customHeight="1" s="59">
      <c r="A25" s="72" t="n"/>
      <c r="B25" s="73" t="inlineStr">
        <is>
          <t>Note: EPF + PPF + LIC</t>
        </is>
      </c>
      <c r="F25" s="72" t="n"/>
      <c r="G25" s="72" t="n"/>
    </row>
    <row r="27" ht="19.5" customHeight="1" s="59">
      <c r="A27" s="62" t="inlineStr">
        <is>
          <t>3.  Present Value of Investments  →  Future Value at Retirement</t>
        </is>
      </c>
    </row>
    <row r="28" ht="19.5" customHeight="1" s="59">
      <c r="B28" s="62" t="inlineStr">
        <is>
          <t>Particulars</t>
        </is>
      </c>
      <c r="F28" s="77" t="inlineStr">
        <is>
          <t>Present Value (₹)</t>
        </is>
      </c>
      <c r="G28" s="77" t="inlineStr">
        <is>
          <t>Future Value at Retirement (₹)</t>
        </is>
      </c>
    </row>
    <row r="29" ht="15" customHeight="1" s="59">
      <c r="A29" s="63" t="n">
        <v>17</v>
      </c>
      <c r="B29" s="64" t="inlineStr">
        <is>
          <t>Value of current equity investments</t>
        </is>
      </c>
      <c r="C29" s="65" t="n"/>
      <c r="D29" s="65" t="n"/>
      <c r="E29" s="66" t="n"/>
      <c r="F29" s="67" t="n">
        <v>500000</v>
      </c>
      <c r="G29" s="68">
        <f>F29*(1+F21/100)^F12</f>
        <v/>
      </c>
    </row>
    <row r="30" ht="15" customHeight="1" s="59">
      <c r="A30" s="63" t="n">
        <v>18</v>
      </c>
      <c r="B30" s="64" t="inlineStr">
        <is>
          <t>Value of current taxable fixed income investments</t>
        </is>
      </c>
      <c r="C30" s="65" t="n"/>
      <c r="D30" s="65" t="n"/>
      <c r="E30" s="66" t="n"/>
      <c r="F30" s="67" t="n">
        <v>300000</v>
      </c>
      <c r="G30" s="68">
        <f>F30*(1+F22/100)^F12</f>
        <v/>
      </c>
    </row>
    <row r="31" ht="15" customHeight="1" s="59">
      <c r="A31" s="63" t="n">
        <v>19</v>
      </c>
      <c r="B31" s="64" t="inlineStr">
        <is>
          <t>Value of current tax-free fixed income investments</t>
        </is>
      </c>
      <c r="C31" s="65" t="n"/>
      <c r="D31" s="65" t="n"/>
      <c r="E31" s="66" t="n"/>
      <c r="F31" s="67" t="n">
        <v>300000</v>
      </c>
      <c r="G31" s="68">
        <f>F31*(1+F24/100)^F12</f>
        <v/>
      </c>
    </row>
    <row r="32" ht="15" customHeight="1" s="59">
      <c r="A32" s="63" t="n">
        <v>20</v>
      </c>
      <c r="B32" s="64" t="inlineStr">
        <is>
          <t>Lump sum benefits expected at retirement (gratuity, etc.)</t>
        </is>
      </c>
      <c r="C32" s="65" t="n"/>
      <c r="D32" s="65" t="n"/>
      <c r="E32" s="66" t="n"/>
      <c r="F32" s="67" t="n">
        <v>200000</v>
      </c>
      <c r="G32" s="68">
        <f>F32</f>
        <v/>
      </c>
    </row>
    <row r="33" ht="15" customHeight="1" s="59">
      <c r="A33" s="63" t="n">
        <v>21</v>
      </c>
      <c r="B33" s="64" t="inlineStr">
        <is>
          <t>Current monthly mandatory EPF contribution (employer + employee)</t>
        </is>
      </c>
      <c r="C33" s="65" t="n"/>
      <c r="D33" s="65" t="n"/>
      <c r="E33" s="66" t="n"/>
      <c r="F33" s="67" t="n">
        <v>12000</v>
      </c>
      <c r="G33" s="68">
        <f>IF(F35=F34,F33*12*F12*(1+F35/100)^(F12-1),F33*12*((1+F35/100)^F12-(1+F34/100)^F12)/((F35-F34)/100))</f>
        <v/>
      </c>
    </row>
    <row r="34" ht="15" customHeight="1" s="59">
      <c r="A34" s="63" t="n">
        <v>22</v>
      </c>
      <c r="B34" s="64" t="inlineStr">
        <is>
          <t>Annual increase in this contribution (%)</t>
        </is>
      </c>
      <c r="C34" s="65" t="n"/>
      <c r="D34" s="65" t="n"/>
      <c r="E34" s="66" t="n"/>
      <c r="F34" s="69" t="n">
        <v>8</v>
      </c>
    </row>
    <row r="35" ht="15" customHeight="1" s="59">
      <c r="A35" s="63" t="n">
        <v>23</v>
      </c>
      <c r="B35" s="64" t="inlineStr">
        <is>
          <t>Expected rate of return for EPF / NPS (%)</t>
        </is>
      </c>
      <c r="C35" s="65" t="n"/>
      <c r="D35" s="65" t="n"/>
      <c r="E35" s="66" t="n"/>
      <c r="F35" s="69" t="n">
        <v>8</v>
      </c>
    </row>
    <row r="37" ht="15" customHeight="1" s="59">
      <c r="A37" s="78" t="n"/>
      <c r="B37" s="79" t="inlineStr">
        <is>
          <t>TOTAL FUTURE VALUE OF EXISTING INVESTMENTS</t>
        </is>
      </c>
      <c r="F37" s="78" t="n"/>
      <c r="G37" s="80">
        <f>G29+G30+G31+G32+G33</f>
        <v/>
      </c>
    </row>
    <row r="39" ht="24" customHeight="1" s="59">
      <c r="A39" s="81" t="inlineStr">
        <is>
          <t>NET CORPUS TO BE ACCUMULATED  (Total Corpus Required − Total Future Value of Investments)</t>
        </is>
      </c>
      <c r="G39" s="82">
        <f>F18-G37</f>
        <v/>
      </c>
    </row>
  </sheetData>
  <mergeCells count="34">
    <mergeCell ref="B9:E9"/>
    <mergeCell ref="B6:E6"/>
    <mergeCell ref="B30:E30"/>
    <mergeCell ref="A4:G4"/>
    <mergeCell ref="B15:E15"/>
    <mergeCell ref="A20:G20"/>
    <mergeCell ref="B33:E33"/>
    <mergeCell ref="B24:E24"/>
    <mergeCell ref="B5:E5"/>
    <mergeCell ref="B32:E32"/>
    <mergeCell ref="B35:E35"/>
    <mergeCell ref="B16:E16"/>
    <mergeCell ref="B7:E7"/>
    <mergeCell ref="B25:E25"/>
    <mergeCell ref="B22:E22"/>
    <mergeCell ref="B31:E31"/>
    <mergeCell ref="B18:E18"/>
    <mergeCell ref="A1:G1"/>
    <mergeCell ref="B12:E12"/>
    <mergeCell ref="B21:E21"/>
    <mergeCell ref="B11:E11"/>
    <mergeCell ref="A39:F39"/>
    <mergeCell ref="B14:E14"/>
    <mergeCell ref="B17:E17"/>
    <mergeCell ref="B23:E23"/>
    <mergeCell ref="B8:E8"/>
    <mergeCell ref="A27:G27"/>
    <mergeCell ref="B13:E13"/>
    <mergeCell ref="B29:E29"/>
    <mergeCell ref="A2:G2"/>
    <mergeCell ref="B37:E37"/>
    <mergeCell ref="B10:E10"/>
    <mergeCell ref="B28:E28"/>
    <mergeCell ref="B34:E3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46"/>
  <sheetViews>
    <sheetView showFormulas="0" showGridLines="0" showRowColHeaders="1" showZeros="1" rightToLeft="0" tabSelected="1" showOutlineSymbols="1" defaultGridColor="1" view="normal" topLeftCell="A19" colorId="64" zoomScale="100" zoomScaleNormal="100" zoomScalePageLayoutView="100" workbookViewId="0">
      <pane xSplit="2" ySplit="0" topLeftCell="C19" activePane="topRight" state="frozen"/>
      <selection pane="topLeft" activeCell="A19" activeCellId="0" sqref="A19"/>
      <selection pane="topRight" activeCell="A1" activeCellId="0" sqref="A1"/>
    </sheetView>
  </sheetViews>
  <sheetFormatPr baseColWidth="8" defaultColWidth="8.6796875" defaultRowHeight="15" zeroHeight="0" outlineLevelRow="0"/>
  <cols>
    <col width="24" customWidth="1" style="58" min="1" max="1"/>
    <col width="30" customWidth="1" style="58" min="2" max="2"/>
    <col width="15" customWidth="1" style="58" min="3" max="3"/>
    <col width="13" customWidth="1" style="58" min="4" max="8"/>
    <col width="15" customWidth="1" style="58" min="9" max="9"/>
    <col width="18" customWidth="1" style="58" min="10" max="10"/>
  </cols>
  <sheetData>
    <row r="1" ht="17.25" customHeight="1" s="59">
      <c r="A1" s="83" t="inlineStr">
        <is>
          <t>Objective of this budget tool</t>
        </is>
      </c>
      <c r="D1" s="84" t="inlineStr">
        <is>
          <t>NEW     Planning done at the beginning of the month (both income and expenses)</t>
        </is>
      </c>
    </row>
    <row r="2" ht="27.75" customHeight="1" s="59">
      <c r="A2" s="85" t="inlineStr">
        <is>
          <t>1. To keep an eye on the income from various sources and expenses -- MOM basis</t>
        </is>
      </c>
      <c r="D2" s="58" t="n"/>
    </row>
    <row r="3" ht="15" customHeight="1" s="59">
      <c r="A3" s="85" t="inlineStr">
        <is>
          <t>2. To see the PFTM and AFTM, and differences</t>
        </is>
      </c>
      <c r="D3" s="86" t="inlineStr">
        <is>
          <t>NEW     Provision to keep storage of the monthly Plan versus Actual status for a few years</t>
        </is>
      </c>
    </row>
    <row r="4" ht="15" customHeight="1" s="59">
      <c r="A4" s="85" t="inlineStr">
        <is>
          <t>3. Tracking on daily basis and the summation also daily basis</t>
        </is>
      </c>
      <c r="D4" s="58" t="n"/>
    </row>
    <row r="5" ht="15" customHeight="1" s="59">
      <c r="A5" s="85" t="inlineStr">
        <is>
          <t>4. Totalling the daily data for each week and summation as on date</t>
        </is>
      </c>
      <c r="D5" s="58" t="n"/>
    </row>
    <row r="6" ht="15" customHeight="1" s="59">
      <c r="A6" s="85" t="inlineStr">
        <is>
          <t>5. Linked to Goals</t>
        </is>
      </c>
      <c r="D6" s="58" t="n"/>
    </row>
    <row r="7" ht="27.75" customHeight="1" s="59">
      <c r="A7" s="87" t="inlineStr">
        <is>
          <t>MY ASSETZ  |  PERSONAL FINANCIAL BUDGET &amp; CASH FLOW PLANNER</t>
        </is>
      </c>
    </row>
    <row r="8" ht="15.75" customHeight="1" s="59">
      <c r="A8" s="88" t="inlineStr">
        <is>
          <t>Budget for the month of ____________________</t>
        </is>
      </c>
    </row>
    <row r="9" ht="27.75" customHeight="1" s="59">
      <c r="A9" s="89" t="inlineStr">
        <is>
          <t>Income heads</t>
        </is>
      </c>
      <c r="B9" s="89" t="inlineStr">
        <is>
          <t>Plan</t>
        </is>
      </c>
      <c r="C9" s="89" t="inlineStr">
        <is>
          <t>Actual income</t>
        </is>
      </c>
      <c r="D9" s="90" t="n"/>
      <c r="E9" s="90" t="n"/>
      <c r="F9" s="90" t="n"/>
      <c r="G9" s="90" t="n"/>
      <c r="H9" s="90" t="n"/>
      <c r="I9" s="91" t="n"/>
      <c r="J9" s="89" t="inlineStr">
        <is>
          <t>Plan Minus Actual</t>
        </is>
      </c>
    </row>
    <row r="10" ht="15" customHeight="1" s="59">
      <c r="D10" s="92" t="inlineStr">
        <is>
          <t>Week 1</t>
        </is>
      </c>
      <c r="E10" s="92" t="inlineStr">
        <is>
          <t>Week 2</t>
        </is>
      </c>
      <c r="F10" s="92" t="inlineStr">
        <is>
          <t>Week 3</t>
        </is>
      </c>
      <c r="G10" s="92" t="inlineStr">
        <is>
          <t>Week 4</t>
        </is>
      </c>
      <c r="H10" s="92" t="inlineStr">
        <is>
          <t>Week 5</t>
        </is>
      </c>
      <c r="I10" s="92" t="inlineStr">
        <is>
          <t>Month total</t>
        </is>
      </c>
      <c r="J10" s="92" t="inlineStr">
        <is>
          <t>Plan Minus Actual</t>
        </is>
      </c>
    </row>
    <row r="11" ht="15" customHeight="1" s="59">
      <c r="A11" s="93" t="inlineStr">
        <is>
          <t>Salary</t>
        </is>
      </c>
      <c r="B11" s="94" t="n"/>
      <c r="C11" s="94" t="n"/>
      <c r="D11" s="95" t="n"/>
      <c r="E11" s="95" t="n"/>
      <c r="F11" s="95" t="n"/>
      <c r="G11" s="95" t="n"/>
      <c r="H11" s="95" t="n"/>
      <c r="I11" s="96">
        <f>SUM(D11:H11)</f>
        <v/>
      </c>
      <c r="J11" s="96">
        <f>B11-I11</f>
        <v/>
      </c>
    </row>
    <row r="12" ht="15" customHeight="1" s="59">
      <c r="A12" s="93" t="inlineStr">
        <is>
          <t>Rental</t>
        </is>
      </c>
      <c r="B12" s="94" t="n"/>
      <c r="C12" s="94" t="n"/>
      <c r="D12" s="95" t="n"/>
      <c r="E12" s="95" t="n"/>
      <c r="F12" s="95" t="n"/>
      <c r="G12" s="95" t="n"/>
      <c r="H12" s="95" t="n"/>
      <c r="I12" s="96">
        <f>SUM(D12:H12)</f>
        <v/>
      </c>
      <c r="J12" s="96">
        <f>B12-I12</f>
        <v/>
      </c>
    </row>
    <row r="13" ht="15" customHeight="1" s="59">
      <c r="A13" s="93" t="inlineStr">
        <is>
          <t>Business</t>
        </is>
      </c>
      <c r="B13" s="94" t="n"/>
      <c r="C13" s="94" t="n"/>
      <c r="D13" s="95" t="n"/>
      <c r="E13" s="95" t="n"/>
      <c r="F13" s="95" t="n"/>
      <c r="G13" s="95" t="n"/>
      <c r="H13" s="95" t="n"/>
      <c r="I13" s="96">
        <f>SUM(D13:H13)</f>
        <v/>
      </c>
      <c r="J13" s="96">
        <f>B13-I13</f>
        <v/>
      </c>
    </row>
    <row r="14" ht="15" customHeight="1" s="59">
      <c r="A14" s="93" t="inlineStr">
        <is>
          <t>Capital gain</t>
        </is>
      </c>
      <c r="B14" s="94" t="n"/>
      <c r="C14" s="94" t="n"/>
      <c r="D14" s="95" t="n"/>
      <c r="E14" s="95" t="n"/>
      <c r="F14" s="95" t="n"/>
      <c r="G14" s="95" t="n"/>
      <c r="H14" s="95" t="n"/>
      <c r="I14" s="96">
        <f>SUM(D14:H14)</f>
        <v/>
      </c>
      <c r="J14" s="96">
        <f>B14-I14</f>
        <v/>
      </c>
    </row>
    <row r="15" ht="15" customHeight="1" s="59">
      <c r="A15" s="93" t="inlineStr">
        <is>
          <t>Others</t>
        </is>
      </c>
      <c r="B15" s="94" t="n"/>
      <c r="C15" s="94" t="n"/>
      <c r="D15" s="95" t="n"/>
      <c r="E15" s="95" t="n"/>
      <c r="F15" s="95" t="n"/>
      <c r="G15" s="95" t="n"/>
      <c r="H15" s="95" t="n"/>
      <c r="I15" s="96">
        <f>SUM(D15:H15)</f>
        <v/>
      </c>
      <c r="J15" s="96">
        <f>B15-I15</f>
        <v/>
      </c>
    </row>
    <row r="16" ht="15" customHeight="1" s="59">
      <c r="A16" s="97" t="inlineStr">
        <is>
          <t>Total</t>
        </is>
      </c>
      <c r="B16" s="98">
        <f>SUM(B11:B15)</f>
        <v/>
      </c>
      <c r="C16" s="98">
        <f>SUM(C11:C15)</f>
        <v/>
      </c>
      <c r="D16" s="98">
        <f>SUM(D11:D15)</f>
        <v/>
      </c>
      <c r="E16" s="98">
        <f>SUM(E11:E15)</f>
        <v/>
      </c>
      <c r="F16" s="98">
        <f>SUM(F11:F15)</f>
        <v/>
      </c>
      <c r="G16" s="98">
        <f>SUM(G11:G15)</f>
        <v/>
      </c>
      <c r="H16" s="98">
        <f>SUM(H11:H15)</f>
        <v/>
      </c>
      <c r="I16" s="98">
        <f>SUM(I11:I15)</f>
        <v/>
      </c>
      <c r="J16" s="98">
        <f>SUM(J11:J15)</f>
        <v/>
      </c>
    </row>
    <row r="17" ht="17.25" customHeight="1" s="59">
      <c r="A17" s="99" t="inlineStr">
        <is>
          <t>Expenses</t>
        </is>
      </c>
    </row>
    <row r="18" ht="27.75" customHeight="1" s="59">
      <c r="A18" s="92" t="inlineStr">
        <is>
          <t>Heads</t>
        </is>
      </c>
      <c r="B18" s="92" t="inlineStr">
        <is>
          <t>Sub heads</t>
        </is>
      </c>
      <c r="C18" s="92" t="inlineStr">
        <is>
          <t>Plan</t>
        </is>
      </c>
      <c r="D18" s="92" t="inlineStr">
        <is>
          <t>Week 1</t>
        </is>
      </c>
      <c r="E18" s="92" t="inlineStr">
        <is>
          <t>Week 2</t>
        </is>
      </c>
      <c r="F18" s="92" t="inlineStr">
        <is>
          <t>Week 3</t>
        </is>
      </c>
      <c r="G18" s="92" t="inlineStr">
        <is>
          <t>Week 4</t>
        </is>
      </c>
      <c r="H18" s="92" t="inlineStr">
        <is>
          <t>Week 5</t>
        </is>
      </c>
      <c r="I18" s="92" t="inlineStr">
        <is>
          <t>Month total</t>
        </is>
      </c>
      <c r="J18" s="92" t="inlineStr">
        <is>
          <t>Savings / overspent</t>
        </is>
      </c>
    </row>
    <row r="19" ht="15" customHeight="1" s="59">
      <c r="A19" s="100" t="inlineStr">
        <is>
          <t>Housing</t>
        </is>
      </c>
      <c r="B19" s="93" t="inlineStr">
        <is>
          <t>Rent</t>
        </is>
      </c>
      <c r="C19" s="101" t="n"/>
      <c r="D19" s="101" t="n"/>
      <c r="E19" s="101" t="n"/>
      <c r="F19" s="101" t="n"/>
      <c r="G19" s="101" t="n"/>
      <c r="H19" s="101" t="n"/>
      <c r="I19" s="102">
        <f>SUM(D19:H19)</f>
        <v/>
      </c>
      <c r="J19" s="102">
        <f>C19-I19</f>
        <v/>
      </c>
    </row>
    <row r="20" ht="15" customHeight="1" s="59">
      <c r="A20" s="103" t="n"/>
      <c r="B20" s="93" t="inlineStr">
        <is>
          <t>Second mortgage or rent</t>
        </is>
      </c>
      <c r="C20" s="101" t="n"/>
      <c r="D20" s="101" t="n"/>
      <c r="E20" s="101" t="n"/>
      <c r="F20" s="101" t="n"/>
      <c r="G20" s="101" t="n"/>
      <c r="H20" s="101" t="n"/>
      <c r="I20" s="102">
        <f>SUM(D20:H20)</f>
        <v/>
      </c>
      <c r="J20" s="102">
        <f>C20-I20</f>
        <v/>
      </c>
    </row>
    <row r="21" ht="15" customHeight="1" s="59">
      <c r="A21" s="103" t="n"/>
      <c r="B21" s="93" t="inlineStr">
        <is>
          <t>Electricity</t>
        </is>
      </c>
      <c r="C21" s="101" t="n"/>
      <c r="D21" s="101" t="n"/>
      <c r="E21" s="101" t="n"/>
      <c r="F21" s="101" t="n"/>
      <c r="G21" s="101" t="n"/>
      <c r="H21" s="101" t="n"/>
      <c r="I21" s="102">
        <f>SUM(D21:H21)</f>
        <v/>
      </c>
      <c r="J21" s="102">
        <f>C21-I21</f>
        <v/>
      </c>
    </row>
    <row r="22" ht="15" customHeight="1" s="59">
      <c r="A22" s="103" t="n"/>
      <c r="B22" s="93" t="inlineStr">
        <is>
          <t>Gas</t>
        </is>
      </c>
      <c r="C22" s="101" t="n"/>
      <c r="D22" s="101" t="n"/>
      <c r="E22" s="101" t="n"/>
      <c r="F22" s="101" t="n"/>
      <c r="G22" s="101" t="n"/>
      <c r="H22" s="101" t="n"/>
      <c r="I22" s="102">
        <f>SUM(D22:H22)</f>
        <v/>
      </c>
      <c r="J22" s="102">
        <f>C22-I22</f>
        <v/>
      </c>
    </row>
    <row r="23" ht="15" customHeight="1" s="59">
      <c r="A23" s="103" t="n"/>
      <c r="B23" s="93" t="inlineStr">
        <is>
          <t>Water and sewer</t>
        </is>
      </c>
      <c r="C23" s="101" t="n"/>
      <c r="D23" s="101" t="n"/>
      <c r="E23" s="101" t="n"/>
      <c r="F23" s="101" t="n"/>
      <c r="G23" s="101" t="n"/>
      <c r="H23" s="101" t="n"/>
      <c r="I23" s="102">
        <f>SUM(D23:H23)</f>
        <v/>
      </c>
      <c r="J23" s="102">
        <f>C23-I23</f>
        <v/>
      </c>
    </row>
    <row r="24" ht="15" customHeight="1" s="59">
      <c r="A24" s="103" t="n"/>
      <c r="B24" s="93" t="inlineStr">
        <is>
          <t>House and Water</t>
        </is>
      </c>
      <c r="C24" s="101" t="n"/>
      <c r="D24" s="101" t="n"/>
      <c r="E24" s="101" t="n"/>
      <c r="F24" s="101" t="n"/>
      <c r="G24" s="101" t="n"/>
      <c r="H24" s="101" t="n"/>
      <c r="I24" s="102">
        <f>SUM(D24:H24)</f>
        <v/>
      </c>
      <c r="J24" s="102">
        <f>C24-I24</f>
        <v/>
      </c>
    </row>
    <row r="25" ht="15" customHeight="1" s="59">
      <c r="A25" s="103" t="n"/>
      <c r="B25" s="93" t="inlineStr">
        <is>
          <t>Waste removal</t>
        </is>
      </c>
      <c r="C25" s="101" t="n"/>
      <c r="D25" s="101" t="n"/>
      <c r="E25" s="101" t="n"/>
      <c r="F25" s="101" t="n"/>
      <c r="G25" s="101" t="n"/>
      <c r="H25" s="101" t="n"/>
      <c r="I25" s="102">
        <f>SUM(D25:H25)</f>
        <v/>
      </c>
      <c r="J25" s="102">
        <f>C25-I25</f>
        <v/>
      </c>
    </row>
    <row r="26" ht="15" customHeight="1" s="59">
      <c r="A26" s="103" t="n"/>
      <c r="B26" s="93" t="inlineStr">
        <is>
          <t>Maintenance or repairs</t>
        </is>
      </c>
      <c r="C26" s="101" t="n"/>
      <c r="D26" s="101" t="n"/>
      <c r="E26" s="101" t="n"/>
      <c r="F26" s="101" t="n"/>
      <c r="G26" s="101" t="n"/>
      <c r="H26" s="101" t="n"/>
      <c r="I26" s="102">
        <f>SUM(D26:H26)</f>
        <v/>
      </c>
      <c r="J26" s="102">
        <f>C26-I26</f>
        <v/>
      </c>
    </row>
    <row r="27" ht="15" customHeight="1" s="59">
      <c r="A27" s="103" t="n"/>
      <c r="B27" s="93" t="inlineStr">
        <is>
          <t>Servant / maid</t>
        </is>
      </c>
      <c r="C27" s="101" t="n"/>
      <c r="D27" s="101" t="n"/>
      <c r="E27" s="101" t="n"/>
      <c r="F27" s="101" t="n"/>
      <c r="G27" s="101" t="n"/>
      <c r="H27" s="101" t="n"/>
      <c r="I27" s="102">
        <f>SUM(D27:H27)</f>
        <v/>
      </c>
      <c r="J27" s="102">
        <f>C27-I27</f>
        <v/>
      </c>
    </row>
    <row r="28" ht="15" customHeight="1" s="59">
      <c r="A28" s="103" t="n"/>
      <c r="B28" s="93" t="inlineStr">
        <is>
          <t>Monthly maintenance</t>
        </is>
      </c>
      <c r="C28" s="101" t="n"/>
      <c r="D28" s="101" t="n"/>
      <c r="E28" s="101" t="n"/>
      <c r="F28" s="101" t="n"/>
      <c r="G28" s="101" t="n"/>
      <c r="H28" s="101" t="n"/>
      <c r="I28" s="102">
        <f>SUM(D28:H28)</f>
        <v/>
      </c>
      <c r="J28" s="102">
        <f>C28-I28</f>
        <v/>
      </c>
    </row>
    <row r="29" ht="15" customHeight="1" s="59">
      <c r="A29" s="104" t="n"/>
      <c r="B29" s="93" t="inlineStr">
        <is>
          <t>Gardening</t>
        </is>
      </c>
      <c r="C29" s="101" t="n"/>
      <c r="D29" s="101" t="n"/>
      <c r="E29" s="101" t="n"/>
      <c r="F29" s="101" t="n"/>
      <c r="G29" s="101" t="n"/>
      <c r="H29" s="101" t="n"/>
      <c r="I29" s="102">
        <f>SUM(D29:H29)</f>
        <v/>
      </c>
      <c r="J29" s="102">
        <f>C29-I29</f>
        <v/>
      </c>
    </row>
    <row r="30" ht="15" customHeight="1" s="59">
      <c r="A30" s="105" t="n"/>
      <c r="B30" s="106" t="inlineStr">
        <is>
          <t>Total</t>
        </is>
      </c>
      <c r="C30" s="107">
        <f>SUM(C19:C29)</f>
        <v/>
      </c>
      <c r="D30" s="107">
        <f>SUM(D19:D29)</f>
        <v/>
      </c>
      <c r="E30" s="107">
        <f>SUM(E19:E29)</f>
        <v/>
      </c>
      <c r="F30" s="107">
        <f>SUM(F19:F29)</f>
        <v/>
      </c>
      <c r="G30" s="107">
        <f>SUM(G19:G29)</f>
        <v/>
      </c>
      <c r="H30" s="107">
        <f>SUM(H19:H29)</f>
        <v/>
      </c>
      <c r="I30" s="107">
        <f>SUM(I19:I29)</f>
        <v/>
      </c>
      <c r="J30" s="107">
        <f>SUM(J19:J29)</f>
        <v/>
      </c>
    </row>
    <row r="31" ht="15" customHeight="1" s="59">
      <c r="A31" s="100" t="inlineStr">
        <is>
          <t>Food</t>
        </is>
      </c>
      <c r="B31" s="93" t="inlineStr">
        <is>
          <t>Groceries</t>
        </is>
      </c>
      <c r="C31" s="101" t="n"/>
      <c r="D31" s="101" t="n"/>
      <c r="E31" s="101" t="n"/>
      <c r="F31" s="101" t="n"/>
      <c r="G31" s="101" t="n"/>
      <c r="H31" s="101" t="n"/>
      <c r="I31" s="102">
        <f>SUM(D31:H31)</f>
        <v/>
      </c>
      <c r="J31" s="102">
        <f>C31-I31</f>
        <v/>
      </c>
    </row>
    <row r="32" ht="15" customHeight="1" s="59">
      <c r="A32" s="103" t="n"/>
      <c r="B32" s="93" t="inlineStr">
        <is>
          <t>Dining out</t>
        </is>
      </c>
      <c r="C32" s="101" t="n"/>
      <c r="D32" s="101" t="n"/>
      <c r="E32" s="101" t="n"/>
      <c r="F32" s="101" t="n"/>
      <c r="G32" s="101" t="n"/>
      <c r="H32" s="101" t="n"/>
      <c r="I32" s="102">
        <f>SUM(D32:H32)</f>
        <v/>
      </c>
      <c r="J32" s="102">
        <f>C32-I32</f>
        <v/>
      </c>
    </row>
    <row r="33" ht="15" customHeight="1" s="59">
      <c r="A33" s="103" t="n"/>
      <c r="B33" s="93" t="inlineStr">
        <is>
          <t>Vegetables / fruits</t>
        </is>
      </c>
      <c r="C33" s="101" t="n"/>
      <c r="D33" s="101" t="n"/>
      <c r="E33" s="101" t="n"/>
      <c r="F33" s="101" t="n"/>
      <c r="G33" s="101" t="n"/>
      <c r="H33" s="101" t="n"/>
      <c r="I33" s="102">
        <f>SUM(D33:H33)</f>
        <v/>
      </c>
      <c r="J33" s="102">
        <f>C33-I33</f>
        <v/>
      </c>
    </row>
    <row r="34" ht="15" customHeight="1" s="59">
      <c r="A34" s="103" t="n"/>
      <c r="B34" s="93" t="inlineStr">
        <is>
          <t>Snacks etc</t>
        </is>
      </c>
      <c r="C34" s="101" t="n"/>
      <c r="D34" s="101" t="n"/>
      <c r="E34" s="101" t="n"/>
      <c r="F34" s="101" t="n"/>
      <c r="G34" s="101" t="n"/>
      <c r="H34" s="101" t="n"/>
      <c r="I34" s="102">
        <f>SUM(D34:H34)</f>
        <v/>
      </c>
      <c r="J34" s="102">
        <f>C34-I34</f>
        <v/>
      </c>
    </row>
    <row r="35" ht="15" customHeight="1" s="59">
      <c r="A35" s="104" t="n"/>
      <c r="B35" s="93" t="inlineStr">
        <is>
          <t>Meat etc</t>
        </is>
      </c>
      <c r="C35" s="101" t="n"/>
      <c r="D35" s="101" t="n"/>
      <c r="E35" s="101" t="n"/>
      <c r="F35" s="101" t="n"/>
      <c r="G35" s="101" t="n"/>
      <c r="H35" s="101" t="n"/>
      <c r="I35" s="102">
        <f>SUM(D35:H35)</f>
        <v/>
      </c>
      <c r="J35" s="102">
        <f>C35-I35</f>
        <v/>
      </c>
    </row>
    <row r="36" ht="15" customHeight="1" s="59">
      <c r="A36" s="105" t="n"/>
      <c r="B36" s="106" t="inlineStr">
        <is>
          <t>Total</t>
        </is>
      </c>
      <c r="C36" s="107">
        <f>SUM(C31:C35)</f>
        <v/>
      </c>
      <c r="D36" s="107">
        <f>SUM(D31:D35)</f>
        <v/>
      </c>
      <c r="E36" s="107">
        <f>SUM(E31:E35)</f>
        <v/>
      </c>
      <c r="F36" s="107">
        <f>SUM(F31:F35)</f>
        <v/>
      </c>
      <c r="G36" s="107">
        <f>SUM(G31:G35)</f>
        <v/>
      </c>
      <c r="H36" s="107">
        <f>SUM(H31:H35)</f>
        <v/>
      </c>
      <c r="I36" s="107">
        <f>SUM(I31:I35)</f>
        <v/>
      </c>
      <c r="J36" s="107">
        <f>SUM(J31:J35)</f>
        <v/>
      </c>
    </row>
    <row r="37" ht="15" customHeight="1" s="59">
      <c r="A37" s="100" t="inlineStr">
        <is>
          <t>Children</t>
        </is>
      </c>
      <c r="B37" s="93" t="inlineStr">
        <is>
          <t>Medical</t>
        </is>
      </c>
      <c r="C37" s="101" t="n"/>
      <c r="D37" s="101" t="n"/>
      <c r="E37" s="101" t="n"/>
      <c r="F37" s="101" t="n"/>
      <c r="G37" s="101" t="n"/>
      <c r="H37" s="101" t="n"/>
      <c r="I37" s="102">
        <f>SUM(D37:H37)</f>
        <v/>
      </c>
      <c r="J37" s="102">
        <f>C37-I37</f>
        <v/>
      </c>
    </row>
    <row r="38" ht="15" customHeight="1" s="59">
      <c r="A38" s="103" t="n"/>
      <c r="B38" s="93" t="inlineStr">
        <is>
          <t>Clothing children related only</t>
        </is>
      </c>
      <c r="C38" s="101" t="n"/>
      <c r="D38" s="101" t="n"/>
      <c r="E38" s="101" t="n"/>
      <c r="F38" s="101" t="n"/>
      <c r="G38" s="101" t="n"/>
      <c r="H38" s="101" t="n"/>
      <c r="I38" s="102">
        <f>SUM(D38:H38)</f>
        <v/>
      </c>
      <c r="J38" s="102">
        <f>C38-I38</f>
        <v/>
      </c>
    </row>
    <row r="39" ht="15" customHeight="1" s="59">
      <c r="A39" s="103" t="n"/>
      <c r="B39" s="93" t="inlineStr">
        <is>
          <t>Evening tuition expenses</t>
        </is>
      </c>
      <c r="C39" s="101" t="n"/>
      <c r="D39" s="101" t="n"/>
      <c r="E39" s="101" t="n"/>
      <c r="F39" s="101" t="n"/>
      <c r="G39" s="101" t="n"/>
      <c r="H39" s="101" t="n"/>
      <c r="I39" s="102">
        <f>SUM(D39:H39)</f>
        <v/>
      </c>
      <c r="J39" s="102">
        <f>C39-I39</f>
        <v/>
      </c>
    </row>
    <row r="40" ht="15" customHeight="1" s="59">
      <c r="A40" s="103" t="n"/>
      <c r="B40" s="93" t="inlineStr">
        <is>
          <t>School tuition</t>
        </is>
      </c>
      <c r="C40" s="101" t="n"/>
      <c r="D40" s="101" t="n"/>
      <c r="E40" s="101" t="n"/>
      <c r="F40" s="101" t="n"/>
      <c r="G40" s="101" t="n"/>
      <c r="H40" s="101" t="n"/>
      <c r="I40" s="102">
        <f>SUM(D40:H40)</f>
        <v/>
      </c>
      <c r="J40" s="102">
        <f>C40-I40</f>
        <v/>
      </c>
    </row>
    <row r="41" ht="15" customHeight="1" s="59">
      <c r="A41" s="103" t="n"/>
      <c r="B41" s="93" t="inlineStr">
        <is>
          <t>Sports / arts / other expenses</t>
        </is>
      </c>
      <c r="C41" s="101" t="n"/>
      <c r="D41" s="101" t="n"/>
      <c r="E41" s="101" t="n"/>
      <c r="F41" s="101" t="n"/>
      <c r="G41" s="101" t="n"/>
      <c r="H41" s="101" t="n"/>
      <c r="I41" s="102">
        <f>SUM(D41:H41)</f>
        <v/>
      </c>
      <c r="J41" s="102">
        <f>C41-I41</f>
        <v/>
      </c>
    </row>
    <row r="42" ht="15" customHeight="1" s="59">
      <c r="A42" s="103" t="n"/>
      <c r="B42" s="93" t="inlineStr">
        <is>
          <t>Sports related travel, dress, others</t>
        </is>
      </c>
      <c r="C42" s="101" t="n"/>
      <c r="D42" s="101" t="n"/>
      <c r="E42" s="101" t="n"/>
      <c r="F42" s="101" t="n"/>
      <c r="G42" s="101" t="n"/>
      <c r="H42" s="101" t="n"/>
      <c r="I42" s="102">
        <f>SUM(D42:H42)</f>
        <v/>
      </c>
      <c r="J42" s="102">
        <f>C42-I42</f>
        <v/>
      </c>
    </row>
    <row r="43" ht="15" customHeight="1" s="59">
      <c r="A43" s="103" t="n"/>
      <c r="B43" s="93" t="inlineStr">
        <is>
          <t>Uniforms, books etc</t>
        </is>
      </c>
      <c r="C43" s="101" t="n"/>
      <c r="D43" s="101" t="n"/>
      <c r="E43" s="101" t="n"/>
      <c r="F43" s="101" t="n"/>
      <c r="G43" s="101" t="n"/>
      <c r="H43" s="101" t="n"/>
      <c r="I43" s="102">
        <f>SUM(D43:H43)</f>
        <v/>
      </c>
      <c r="J43" s="102">
        <f>C43-I43</f>
        <v/>
      </c>
    </row>
    <row r="44" ht="15" customHeight="1" s="59">
      <c r="A44" s="103" t="n"/>
      <c r="B44" s="93" t="inlineStr">
        <is>
          <t>Organization dues or fees</t>
        </is>
      </c>
      <c r="C44" s="101" t="n"/>
      <c r="D44" s="101" t="n"/>
      <c r="E44" s="101" t="n"/>
      <c r="F44" s="101" t="n"/>
      <c r="G44" s="101" t="n"/>
      <c r="H44" s="101" t="n"/>
      <c r="I44" s="102">
        <f>SUM(D44:H44)</f>
        <v/>
      </c>
      <c r="J44" s="102">
        <f>C44-I44</f>
        <v/>
      </c>
    </row>
    <row r="45" ht="15" customHeight="1" s="59">
      <c r="A45" s="103" t="n"/>
      <c r="B45" s="93" t="inlineStr">
        <is>
          <t>Lunch money</t>
        </is>
      </c>
      <c r="C45" s="101" t="n"/>
      <c r="D45" s="101" t="n"/>
      <c r="E45" s="101" t="n"/>
      <c r="F45" s="101" t="n"/>
      <c r="G45" s="101" t="n"/>
      <c r="H45" s="101" t="n"/>
      <c r="I45" s="102">
        <f>SUM(D45:H45)</f>
        <v/>
      </c>
      <c r="J45" s="102">
        <f>C45-I45</f>
        <v/>
      </c>
    </row>
    <row r="46" ht="15" customHeight="1" s="59">
      <c r="A46" s="103" t="n"/>
      <c r="B46" s="93" t="inlineStr">
        <is>
          <t>Child care</t>
        </is>
      </c>
      <c r="C46" s="101" t="n"/>
      <c r="D46" s="101" t="n"/>
      <c r="E46" s="101" t="n"/>
      <c r="F46" s="101" t="n"/>
      <c r="G46" s="101" t="n"/>
      <c r="H46" s="101" t="n"/>
      <c r="I46" s="102">
        <f>SUM(D46:H46)</f>
        <v/>
      </c>
      <c r="J46" s="102">
        <f>C46-I46</f>
        <v/>
      </c>
    </row>
    <row r="47" ht="15" customHeight="1" s="59">
      <c r="A47" s="103" t="n"/>
      <c r="B47" s="93" t="inlineStr">
        <is>
          <t>Toys / games</t>
        </is>
      </c>
      <c r="C47" s="101" t="n"/>
      <c r="D47" s="101" t="n"/>
      <c r="E47" s="101" t="n"/>
      <c r="F47" s="101" t="n"/>
      <c r="G47" s="101" t="n"/>
      <c r="H47" s="101" t="n"/>
      <c r="I47" s="102">
        <f>SUM(D47:H47)</f>
        <v/>
      </c>
      <c r="J47" s="102">
        <f>C47-I47</f>
        <v/>
      </c>
    </row>
    <row r="48" ht="15" customHeight="1" s="59">
      <c r="A48" s="104" t="n"/>
      <c r="B48" s="93" t="inlineStr">
        <is>
          <t>Creche expenses</t>
        </is>
      </c>
      <c r="C48" s="101" t="n"/>
      <c r="D48" s="101" t="n"/>
      <c r="E48" s="101" t="n"/>
      <c r="F48" s="101" t="n"/>
      <c r="G48" s="101" t="n"/>
      <c r="H48" s="101" t="n"/>
      <c r="I48" s="102">
        <f>SUM(D48:H48)</f>
        <v/>
      </c>
      <c r="J48" s="102">
        <f>C48-I48</f>
        <v/>
      </c>
    </row>
    <row r="49" ht="15" customHeight="1" s="59">
      <c r="A49" s="105" t="n"/>
      <c r="B49" s="106" t="inlineStr">
        <is>
          <t>Total</t>
        </is>
      </c>
      <c r="C49" s="107">
        <f>SUM(C37:C48)</f>
        <v/>
      </c>
      <c r="D49" s="107">
        <f>SUM(D37:D48)</f>
        <v/>
      </c>
      <c r="E49" s="107">
        <f>SUM(E37:E48)</f>
        <v/>
      </c>
      <c r="F49" s="107">
        <f>SUM(F37:F48)</f>
        <v/>
      </c>
      <c r="G49" s="107">
        <f>SUM(G37:G48)</f>
        <v/>
      </c>
      <c r="H49" s="107">
        <f>SUM(H37:H48)</f>
        <v/>
      </c>
      <c r="I49" s="107">
        <f>SUM(I37:I48)</f>
        <v/>
      </c>
      <c r="J49" s="107">
        <f>SUM(J37:J48)</f>
        <v/>
      </c>
    </row>
    <row r="50" ht="15" customHeight="1" s="59">
      <c r="A50" s="100" t="inlineStr">
        <is>
          <t>Communication</t>
        </is>
      </c>
      <c r="B50" s="93" t="inlineStr">
        <is>
          <t>Fixed Phone</t>
        </is>
      </c>
      <c r="C50" s="101" t="n"/>
      <c r="D50" s="101" t="n"/>
      <c r="E50" s="101" t="n"/>
      <c r="F50" s="101" t="n"/>
      <c r="G50" s="101" t="n"/>
      <c r="H50" s="101" t="n"/>
      <c r="I50" s="102">
        <f>SUM(D50:H50)</f>
        <v/>
      </c>
      <c r="J50" s="102">
        <f>C50-I50</f>
        <v/>
      </c>
    </row>
    <row r="51" ht="15" customHeight="1" s="59">
      <c r="A51" s="103" t="n"/>
      <c r="B51" s="93" t="inlineStr">
        <is>
          <t>Mobile</t>
        </is>
      </c>
      <c r="C51" s="101" t="n"/>
      <c r="D51" s="101" t="n"/>
      <c r="E51" s="101" t="n"/>
      <c r="F51" s="101" t="n"/>
      <c r="G51" s="101" t="n"/>
      <c r="H51" s="101" t="n"/>
      <c r="I51" s="102">
        <f>SUM(D51:H51)</f>
        <v/>
      </c>
      <c r="J51" s="102">
        <f>C51-I51</f>
        <v/>
      </c>
    </row>
    <row r="52" ht="15" customHeight="1" s="59">
      <c r="A52" s="103" t="n"/>
      <c r="B52" s="93" t="inlineStr">
        <is>
          <t>Mobile</t>
        </is>
      </c>
      <c r="C52" s="101" t="n"/>
      <c r="D52" s="101" t="n"/>
      <c r="E52" s="101" t="n"/>
      <c r="F52" s="101" t="n"/>
      <c r="G52" s="101" t="n"/>
      <c r="H52" s="101" t="n"/>
      <c r="I52" s="102">
        <f>SUM(D52:H52)</f>
        <v/>
      </c>
      <c r="J52" s="102">
        <f>C52-I52</f>
        <v/>
      </c>
    </row>
    <row r="53" ht="15" customHeight="1" s="59">
      <c r="A53" s="103" t="n"/>
      <c r="B53" s="93" t="inlineStr">
        <is>
          <t>Mobile</t>
        </is>
      </c>
      <c r="C53" s="101" t="n"/>
      <c r="D53" s="101" t="n"/>
      <c r="E53" s="101" t="n"/>
      <c r="F53" s="101" t="n"/>
      <c r="G53" s="101" t="n"/>
      <c r="H53" s="101" t="n"/>
      <c r="I53" s="102">
        <f>SUM(D53:H53)</f>
        <v/>
      </c>
      <c r="J53" s="102">
        <f>C53-I53</f>
        <v/>
      </c>
    </row>
    <row r="54" ht="15" customHeight="1" s="59">
      <c r="A54" s="103" t="n"/>
      <c r="B54" s="93" t="inlineStr">
        <is>
          <t>Net Connection</t>
        </is>
      </c>
      <c r="C54" s="101" t="n"/>
      <c r="D54" s="101" t="n"/>
      <c r="E54" s="101" t="n"/>
      <c r="F54" s="101" t="n"/>
      <c r="G54" s="101" t="n"/>
      <c r="H54" s="101" t="n"/>
      <c r="I54" s="102">
        <f>SUM(D54:H54)</f>
        <v/>
      </c>
      <c r="J54" s="102">
        <f>C54-I54</f>
        <v/>
      </c>
    </row>
    <row r="55" ht="15" customHeight="1" s="59">
      <c r="A55" s="104" t="n"/>
      <c r="B55" s="93" t="inlineStr">
        <is>
          <t>Broadband</t>
        </is>
      </c>
      <c r="C55" s="101" t="n"/>
      <c r="D55" s="101" t="n"/>
      <c r="E55" s="101" t="n"/>
      <c r="F55" s="101" t="n"/>
      <c r="G55" s="101" t="n"/>
      <c r="H55" s="101" t="n"/>
      <c r="I55" s="102">
        <f>SUM(D55:H55)</f>
        <v/>
      </c>
      <c r="J55" s="102">
        <f>C55-I55</f>
        <v/>
      </c>
    </row>
    <row r="56" ht="15" customHeight="1" s="59">
      <c r="A56" s="105" t="n"/>
      <c r="B56" s="106" t="inlineStr">
        <is>
          <t>Total</t>
        </is>
      </c>
      <c r="C56" s="107">
        <f>SUM(C50:C55)</f>
        <v/>
      </c>
      <c r="D56" s="107">
        <f>SUM(D50:D55)</f>
        <v/>
      </c>
      <c r="E56" s="107">
        <f>SUM(E50:E55)</f>
        <v/>
      </c>
      <c r="F56" s="107">
        <f>SUM(F50:F55)</f>
        <v/>
      </c>
      <c r="G56" s="107">
        <f>SUM(G50:G55)</f>
        <v/>
      </c>
      <c r="H56" s="107">
        <f>SUM(H50:H55)</f>
        <v/>
      </c>
      <c r="I56" s="107">
        <f>SUM(I50:I55)</f>
        <v/>
      </c>
      <c r="J56" s="107">
        <f>SUM(J50:J55)</f>
        <v/>
      </c>
    </row>
    <row r="57" ht="15" customHeight="1" s="59">
      <c r="A57" s="100" t="inlineStr">
        <is>
          <t>Transportation</t>
        </is>
      </c>
      <c r="B57" s="93" t="inlineStr">
        <is>
          <t>Bus / taxi fare</t>
        </is>
      </c>
      <c r="C57" s="101" t="n"/>
      <c r="D57" s="101" t="n"/>
      <c r="E57" s="101" t="n"/>
      <c r="F57" s="101" t="n"/>
      <c r="G57" s="101" t="n"/>
      <c r="H57" s="101" t="n"/>
      <c r="I57" s="102">
        <f>SUM(D57:H57)</f>
        <v/>
      </c>
      <c r="J57" s="102">
        <f>C57-I57</f>
        <v/>
      </c>
    </row>
    <row r="58" ht="15" customHeight="1" s="59">
      <c r="A58" s="103" t="n"/>
      <c r="B58" s="93" t="inlineStr">
        <is>
          <t>Licensing</t>
        </is>
      </c>
      <c r="C58" s="101" t="n"/>
      <c r="D58" s="101" t="n"/>
      <c r="E58" s="101" t="n"/>
      <c r="F58" s="101" t="n"/>
      <c r="G58" s="101" t="n"/>
      <c r="H58" s="101" t="n"/>
      <c r="I58" s="102">
        <f>SUM(D58:H58)</f>
        <v/>
      </c>
      <c r="J58" s="102">
        <f>C58-I58</f>
        <v/>
      </c>
    </row>
    <row r="59" ht="15" customHeight="1" s="59">
      <c r="A59" s="103" t="n"/>
      <c r="B59" s="93" t="inlineStr">
        <is>
          <t>Fuel - vehicle 1</t>
        </is>
      </c>
      <c r="C59" s="101" t="n"/>
      <c r="D59" s="101" t="n"/>
      <c r="E59" s="101" t="n"/>
      <c r="F59" s="101" t="n"/>
      <c r="G59" s="101" t="n"/>
      <c r="H59" s="101" t="n"/>
      <c r="I59" s="102">
        <f>SUM(D59:H59)</f>
        <v/>
      </c>
      <c r="J59" s="102">
        <f>C59-I59</f>
        <v/>
      </c>
    </row>
    <row r="60" ht="15" customHeight="1" s="59">
      <c r="A60" s="103" t="n"/>
      <c r="B60" s="93" t="inlineStr">
        <is>
          <t>Fuel - vehicle 2</t>
        </is>
      </c>
      <c r="C60" s="101" t="n"/>
      <c r="D60" s="101" t="n"/>
      <c r="E60" s="101" t="n"/>
      <c r="F60" s="101" t="n"/>
      <c r="G60" s="101" t="n"/>
      <c r="H60" s="101" t="n"/>
      <c r="I60" s="102">
        <f>SUM(D60:H60)</f>
        <v/>
      </c>
      <c r="J60" s="102">
        <f>C60-I60</f>
        <v/>
      </c>
    </row>
    <row r="61" ht="15" customHeight="1" s="59">
      <c r="A61" s="103" t="n"/>
      <c r="B61" s="93" t="inlineStr">
        <is>
          <t>Fuel - vehicle 3</t>
        </is>
      </c>
      <c r="C61" s="101" t="n"/>
      <c r="D61" s="101" t="n"/>
      <c r="E61" s="101" t="n"/>
      <c r="F61" s="101" t="n"/>
      <c r="G61" s="101" t="n"/>
      <c r="H61" s="101" t="n"/>
      <c r="I61" s="102">
        <f>SUM(D61:H61)</f>
        <v/>
      </c>
      <c r="J61" s="102">
        <f>C61-I61</f>
        <v/>
      </c>
    </row>
    <row r="62" ht="15" customHeight="1" s="59">
      <c r="A62" s="103" t="n"/>
      <c r="B62" s="93" t="inlineStr">
        <is>
          <t>Maintenance Vehicle 1</t>
        </is>
      </c>
      <c r="C62" s="101" t="n"/>
      <c r="D62" s="101" t="n"/>
      <c r="E62" s="101" t="n"/>
      <c r="F62" s="101" t="n"/>
      <c r="G62" s="101" t="n"/>
      <c r="H62" s="101" t="n"/>
      <c r="I62" s="102">
        <f>SUM(D62:H62)</f>
        <v/>
      </c>
      <c r="J62" s="102">
        <f>C62-I62</f>
        <v/>
      </c>
    </row>
    <row r="63" ht="15" customHeight="1" s="59">
      <c r="A63" s="103" t="n"/>
      <c r="B63" s="93" t="inlineStr">
        <is>
          <t>Maintenance Vehicle 2</t>
        </is>
      </c>
      <c r="C63" s="101" t="n"/>
      <c r="D63" s="101" t="n"/>
      <c r="E63" s="101" t="n"/>
      <c r="F63" s="101" t="n"/>
      <c r="G63" s="101" t="n"/>
      <c r="H63" s="101" t="n"/>
      <c r="I63" s="102">
        <f>SUM(D63:H63)</f>
        <v/>
      </c>
      <c r="J63" s="102">
        <f>C63-I63</f>
        <v/>
      </c>
    </row>
    <row r="64" ht="15" customHeight="1" s="59">
      <c r="A64" s="104" t="n"/>
      <c r="B64" s="93" t="inlineStr">
        <is>
          <t>Maintenance Vehicle 3</t>
        </is>
      </c>
      <c r="C64" s="101" t="n"/>
      <c r="D64" s="101" t="n"/>
      <c r="E64" s="101" t="n"/>
      <c r="F64" s="101" t="n"/>
      <c r="G64" s="101" t="n"/>
      <c r="H64" s="101" t="n"/>
      <c r="I64" s="102">
        <f>SUM(D64:H64)</f>
        <v/>
      </c>
      <c r="J64" s="102">
        <f>C64-I64</f>
        <v/>
      </c>
    </row>
    <row r="65" ht="15" customHeight="1" s="59">
      <c r="A65" s="105" t="n"/>
      <c r="B65" s="106" t="inlineStr">
        <is>
          <t>Total</t>
        </is>
      </c>
      <c r="C65" s="107">
        <f>SUM(C57:C64)</f>
        <v/>
      </c>
      <c r="D65" s="107">
        <f>SUM(D57:D64)</f>
        <v/>
      </c>
      <c r="E65" s="107">
        <f>SUM(E57:E64)</f>
        <v/>
      </c>
      <c r="F65" s="107">
        <f>SUM(F57:F64)</f>
        <v/>
      </c>
      <c r="G65" s="107">
        <f>SUM(G57:G64)</f>
        <v/>
      </c>
      <c r="H65" s="107">
        <f>SUM(H57:H64)</f>
        <v/>
      </c>
      <c r="I65" s="107">
        <f>SUM(I57:I64)</f>
        <v/>
      </c>
      <c r="J65" s="107">
        <f>SUM(J57:J64)</f>
        <v/>
      </c>
    </row>
    <row r="66" ht="15" customHeight="1" s="59">
      <c r="A66" s="100" t="inlineStr">
        <is>
          <t>Entertainment</t>
        </is>
      </c>
      <c r="B66" s="93" t="inlineStr">
        <is>
          <t>Video / DVD</t>
        </is>
      </c>
      <c r="C66" s="101" t="n"/>
      <c r="D66" s="101" t="n"/>
      <c r="E66" s="101" t="n"/>
      <c r="F66" s="101" t="n"/>
      <c r="G66" s="101" t="n"/>
      <c r="H66" s="101" t="n"/>
      <c r="I66" s="102">
        <f>SUM(D66:H66)</f>
        <v/>
      </c>
      <c r="J66" s="102">
        <f>C66-I66</f>
        <v/>
      </c>
    </row>
    <row r="67" ht="15" customHeight="1" s="59">
      <c r="A67" s="103" t="n"/>
      <c r="B67" s="93" t="inlineStr">
        <is>
          <t>Movies / Cable / DTH</t>
        </is>
      </c>
      <c r="C67" s="101" t="n"/>
      <c r="D67" s="101" t="n"/>
      <c r="E67" s="101" t="n"/>
      <c r="F67" s="101" t="n"/>
      <c r="G67" s="101" t="n"/>
      <c r="H67" s="101" t="n"/>
      <c r="I67" s="102">
        <f>SUM(D67:H67)</f>
        <v/>
      </c>
      <c r="J67" s="102">
        <f>C67-I67</f>
        <v/>
      </c>
    </row>
    <row r="68" ht="15" customHeight="1" s="59">
      <c r="A68" s="103" t="n"/>
      <c r="B68" s="93" t="inlineStr">
        <is>
          <t>Concerts</t>
        </is>
      </c>
      <c r="C68" s="101" t="n"/>
      <c r="D68" s="101" t="n"/>
      <c r="E68" s="101" t="n"/>
      <c r="F68" s="101" t="n"/>
      <c r="G68" s="101" t="n"/>
      <c r="H68" s="101" t="n"/>
      <c r="I68" s="102">
        <f>SUM(D68:H68)</f>
        <v/>
      </c>
      <c r="J68" s="102">
        <f>C68-I68</f>
        <v/>
      </c>
    </row>
    <row r="69" ht="15" customHeight="1" s="59">
      <c r="A69" s="103" t="n"/>
      <c r="B69" s="93" t="inlineStr">
        <is>
          <t>Sporting events</t>
        </is>
      </c>
      <c r="C69" s="101" t="n"/>
      <c r="D69" s="101" t="n"/>
      <c r="E69" s="101" t="n"/>
      <c r="F69" s="101" t="n"/>
      <c r="G69" s="101" t="n"/>
      <c r="H69" s="101" t="n"/>
      <c r="I69" s="102">
        <f>SUM(D69:H69)</f>
        <v/>
      </c>
      <c r="J69" s="102">
        <f>C69-I69</f>
        <v/>
      </c>
    </row>
    <row r="70" ht="15" customHeight="1" s="59">
      <c r="A70" s="103" t="n"/>
      <c r="B70" s="93" t="inlineStr">
        <is>
          <t>Live theater</t>
        </is>
      </c>
      <c r="C70" s="101" t="n"/>
      <c r="D70" s="101" t="n"/>
      <c r="E70" s="101" t="n"/>
      <c r="F70" s="101" t="n"/>
      <c r="G70" s="101" t="n"/>
      <c r="H70" s="101" t="n"/>
      <c r="I70" s="102">
        <f>SUM(D70:H70)</f>
        <v/>
      </c>
      <c r="J70" s="102">
        <f>C70-I70</f>
        <v/>
      </c>
    </row>
    <row r="71" ht="15" customHeight="1" s="59">
      <c r="A71" s="103" t="n"/>
      <c r="B71" s="93" t="inlineStr">
        <is>
          <t>Magazines / books</t>
        </is>
      </c>
      <c r="C71" s="101" t="n"/>
      <c r="D71" s="101" t="n"/>
      <c r="E71" s="101" t="n"/>
      <c r="F71" s="101" t="n"/>
      <c r="G71" s="101" t="n"/>
      <c r="H71" s="101" t="n"/>
      <c r="I71" s="102">
        <f>SUM(D71:H71)</f>
        <v/>
      </c>
      <c r="J71" s="102">
        <f>C71-I71</f>
        <v/>
      </c>
    </row>
    <row r="72" ht="15" customHeight="1" s="59">
      <c r="A72" s="103" t="n"/>
      <c r="B72" s="93" t="inlineStr">
        <is>
          <t>Newspaper</t>
        </is>
      </c>
      <c r="C72" s="101" t="n"/>
      <c r="D72" s="101" t="n"/>
      <c r="E72" s="101" t="n"/>
      <c r="F72" s="101" t="n"/>
      <c r="G72" s="101" t="n"/>
      <c r="H72" s="101" t="n"/>
      <c r="I72" s="102">
        <f>SUM(D72:H72)</f>
        <v/>
      </c>
      <c r="J72" s="102">
        <f>C72-I72</f>
        <v/>
      </c>
    </row>
    <row r="73" ht="15" customHeight="1" s="59">
      <c r="A73" s="104" t="n"/>
      <c r="B73" s="93" t="inlineStr">
        <is>
          <t>Any other</t>
        </is>
      </c>
      <c r="C73" s="101" t="n"/>
      <c r="D73" s="101" t="n"/>
      <c r="E73" s="101" t="n"/>
      <c r="F73" s="101" t="n"/>
      <c r="G73" s="101" t="n"/>
      <c r="H73" s="101" t="n"/>
      <c r="I73" s="102">
        <f>SUM(D73:H73)</f>
        <v/>
      </c>
      <c r="J73" s="102">
        <f>C73-I73</f>
        <v/>
      </c>
    </row>
    <row r="74" ht="15" customHeight="1" s="59">
      <c r="A74" s="105" t="n"/>
      <c r="B74" s="106" t="inlineStr">
        <is>
          <t>Total</t>
        </is>
      </c>
      <c r="C74" s="107">
        <f>SUM(C66:C73)</f>
        <v/>
      </c>
      <c r="D74" s="107">
        <f>SUM(D66:D73)</f>
        <v/>
      </c>
      <c r="E74" s="107">
        <f>SUM(E66:E73)</f>
        <v/>
      </c>
      <c r="F74" s="107">
        <f>SUM(F66:F73)</f>
        <v/>
      </c>
      <c r="G74" s="107">
        <f>SUM(G66:G73)</f>
        <v/>
      </c>
      <c r="H74" s="107">
        <f>SUM(H66:H73)</f>
        <v/>
      </c>
      <c r="I74" s="107">
        <f>SUM(I66:I73)</f>
        <v/>
      </c>
      <c r="J74" s="107">
        <f>SUM(J66:J73)</f>
        <v/>
      </c>
    </row>
    <row r="75" ht="15" customHeight="1" s="59">
      <c r="A75" s="100" t="inlineStr">
        <is>
          <t>Supports to dependents</t>
        </is>
      </c>
      <c r="B75" s="93" t="inlineStr">
        <is>
          <t>Monthly payment</t>
        </is>
      </c>
      <c r="C75" s="101" t="n"/>
      <c r="D75" s="101" t="n"/>
      <c r="E75" s="101" t="n"/>
      <c r="F75" s="101" t="n"/>
      <c r="G75" s="101" t="n"/>
      <c r="H75" s="101" t="n"/>
      <c r="I75" s="102">
        <f>SUM(D75:H75)</f>
        <v/>
      </c>
      <c r="J75" s="102">
        <f>C75-I75</f>
        <v/>
      </c>
    </row>
    <row r="76" ht="15" customHeight="1" s="59">
      <c r="A76" s="103" t="n"/>
      <c r="B76" s="93" t="inlineStr">
        <is>
          <t>Medical expense</t>
        </is>
      </c>
      <c r="C76" s="101" t="n"/>
      <c r="D76" s="101" t="n"/>
      <c r="E76" s="101" t="n"/>
      <c r="F76" s="101" t="n"/>
      <c r="G76" s="101" t="n"/>
      <c r="H76" s="101" t="n"/>
      <c r="I76" s="102">
        <f>SUM(D76:H76)</f>
        <v/>
      </c>
      <c r="J76" s="102">
        <f>C76-I76</f>
        <v/>
      </c>
    </row>
    <row r="77" ht="15" customHeight="1" s="59">
      <c r="A77" s="104" t="n"/>
      <c r="B77" s="93" t="inlineStr">
        <is>
          <t>Dress etc</t>
        </is>
      </c>
      <c r="C77" s="101" t="n"/>
      <c r="D77" s="101" t="n"/>
      <c r="E77" s="101" t="n"/>
      <c r="F77" s="101" t="n"/>
      <c r="G77" s="101" t="n"/>
      <c r="H77" s="101" t="n"/>
      <c r="I77" s="102">
        <f>SUM(D77:H77)</f>
        <v/>
      </c>
      <c r="J77" s="102">
        <f>C77-I77</f>
        <v/>
      </c>
    </row>
    <row r="78" ht="15" customHeight="1" s="59">
      <c r="A78" s="105" t="n"/>
      <c r="B78" s="106" t="inlineStr">
        <is>
          <t>Total</t>
        </is>
      </c>
      <c r="C78" s="107">
        <f>SUM(C75:C77)</f>
        <v/>
      </c>
      <c r="D78" s="107">
        <f>SUM(D75:D77)</f>
        <v/>
      </c>
      <c r="E78" s="107">
        <f>SUM(E75:E77)</f>
        <v/>
      </c>
      <c r="F78" s="107">
        <f>SUM(F75:F77)</f>
        <v/>
      </c>
      <c r="G78" s="107">
        <f>SUM(G75:G77)</f>
        <v/>
      </c>
      <c r="H78" s="107">
        <f>SUM(H75:H77)</f>
        <v/>
      </c>
      <c r="I78" s="107">
        <f>SUM(I75:I77)</f>
        <v/>
      </c>
      <c r="J78" s="107">
        <f>SUM(J75:J77)</f>
        <v/>
      </c>
    </row>
    <row r="79" ht="15" customHeight="1" s="59">
      <c r="A79" s="100" t="inlineStr">
        <is>
          <t>Personal Care</t>
        </is>
      </c>
      <c r="B79" s="93" t="inlineStr">
        <is>
          <t>Medical</t>
        </is>
      </c>
      <c r="C79" s="101" t="n"/>
      <c r="D79" s="101" t="n"/>
      <c r="E79" s="101" t="n"/>
      <c r="F79" s="101" t="n"/>
      <c r="G79" s="101" t="n"/>
      <c r="H79" s="101" t="n"/>
      <c r="I79" s="102">
        <f>SUM(D79:H79)</f>
        <v/>
      </c>
      <c r="J79" s="102">
        <f>C79-I79</f>
        <v/>
      </c>
    </row>
    <row r="80" ht="15" customHeight="1" s="59">
      <c r="A80" s="103" t="n"/>
      <c r="B80" s="93" t="inlineStr">
        <is>
          <t>Hair / nails</t>
        </is>
      </c>
      <c r="C80" s="101" t="n"/>
      <c r="D80" s="101" t="n"/>
      <c r="E80" s="101" t="n"/>
      <c r="F80" s="101" t="n"/>
      <c r="G80" s="101" t="n"/>
      <c r="H80" s="101" t="n"/>
      <c r="I80" s="102">
        <f>SUM(D80:H80)</f>
        <v/>
      </c>
      <c r="J80" s="102">
        <f>C80-I80</f>
        <v/>
      </c>
    </row>
    <row r="81" ht="15" customHeight="1" s="59">
      <c r="A81" s="103" t="n"/>
      <c r="B81" s="93" t="inlineStr">
        <is>
          <t>Dress / other related</t>
        </is>
      </c>
      <c r="C81" s="101" t="n"/>
      <c r="D81" s="101" t="n"/>
      <c r="E81" s="101" t="n"/>
      <c r="F81" s="101" t="n"/>
      <c r="G81" s="101" t="n"/>
      <c r="H81" s="101" t="n"/>
      <c r="I81" s="102">
        <f>SUM(D81:H81)</f>
        <v/>
      </c>
      <c r="J81" s="102">
        <f>C81-I81</f>
        <v/>
      </c>
    </row>
    <row r="82" ht="15" customHeight="1" s="59">
      <c r="A82" s="103" t="n"/>
      <c r="B82" s="93" t="inlineStr">
        <is>
          <t>Dry cleaning</t>
        </is>
      </c>
      <c r="C82" s="101" t="n"/>
      <c r="D82" s="101" t="n"/>
      <c r="E82" s="101" t="n"/>
      <c r="F82" s="101" t="n"/>
      <c r="G82" s="101" t="n"/>
      <c r="H82" s="101" t="n"/>
      <c r="I82" s="102">
        <f>SUM(D82:H82)</f>
        <v/>
      </c>
      <c r="J82" s="102">
        <f>C82-I82</f>
        <v/>
      </c>
    </row>
    <row r="83" ht="15" customHeight="1" s="59">
      <c r="A83" s="103" t="n"/>
      <c r="B83" s="93" t="inlineStr">
        <is>
          <t>Health club</t>
        </is>
      </c>
      <c r="C83" s="101" t="n"/>
      <c r="D83" s="101" t="n"/>
      <c r="E83" s="101" t="n"/>
      <c r="F83" s="101" t="n"/>
      <c r="G83" s="101" t="n"/>
      <c r="H83" s="101" t="n"/>
      <c r="I83" s="102">
        <f>SUM(D83:H83)</f>
        <v/>
      </c>
      <c r="J83" s="102">
        <f>C83-I83</f>
        <v/>
      </c>
    </row>
    <row r="84" ht="15" customHeight="1" s="59">
      <c r="A84" s="103" t="n"/>
      <c r="B84" s="93" t="inlineStr">
        <is>
          <t>Organization dues or fees</t>
        </is>
      </c>
      <c r="C84" s="101" t="n"/>
      <c r="D84" s="101" t="n"/>
      <c r="E84" s="101" t="n"/>
      <c r="F84" s="101" t="n"/>
      <c r="G84" s="101" t="n"/>
      <c r="H84" s="101" t="n"/>
      <c r="I84" s="102">
        <f>SUM(D84:H84)</f>
        <v/>
      </c>
      <c r="J84" s="102">
        <f>C84-I84</f>
        <v/>
      </c>
    </row>
    <row r="85" ht="15" customHeight="1" s="59">
      <c r="A85" s="104" t="n"/>
      <c r="B85" s="93" t="inlineStr">
        <is>
          <t>Personal habits related</t>
        </is>
      </c>
      <c r="C85" s="101" t="n"/>
      <c r="D85" s="101" t="n"/>
      <c r="E85" s="101" t="n"/>
      <c r="F85" s="101" t="n"/>
      <c r="G85" s="101" t="n"/>
      <c r="H85" s="101" t="n"/>
      <c r="I85" s="102">
        <f>SUM(D85:H85)</f>
        <v/>
      </c>
      <c r="J85" s="102">
        <f>C85-I85</f>
        <v/>
      </c>
    </row>
    <row r="86" ht="15" customHeight="1" s="59">
      <c r="A86" s="105" t="n"/>
      <c r="B86" s="106" t="inlineStr">
        <is>
          <t>Total</t>
        </is>
      </c>
      <c r="C86" s="107">
        <f>SUM(C79:C85)</f>
        <v/>
      </c>
      <c r="D86" s="107">
        <f>SUM(D79:D85)</f>
        <v/>
      </c>
      <c r="E86" s="107">
        <f>SUM(E79:E85)</f>
        <v/>
      </c>
      <c r="F86" s="107">
        <f>SUM(F79:F85)</f>
        <v/>
      </c>
      <c r="G86" s="107">
        <f>SUM(G79:G85)</f>
        <v/>
      </c>
      <c r="H86" s="107">
        <f>SUM(H79:H85)</f>
        <v/>
      </c>
      <c r="I86" s="107">
        <f>SUM(I79:I85)</f>
        <v/>
      </c>
      <c r="J86" s="107">
        <f>SUM(J79:J85)</f>
        <v/>
      </c>
    </row>
    <row r="87" ht="15" customHeight="1" s="59">
      <c r="A87" s="100" t="inlineStr">
        <is>
          <t>Replacement expenses</t>
        </is>
      </c>
      <c r="B87" s="93" t="inlineStr">
        <is>
          <t>AC</t>
        </is>
      </c>
      <c r="C87" s="101" t="n"/>
      <c r="D87" s="101" t="n"/>
      <c r="E87" s="101" t="n"/>
      <c r="F87" s="101" t="n"/>
      <c r="G87" s="101" t="n"/>
      <c r="H87" s="101" t="n"/>
      <c r="I87" s="102">
        <f>SUM(D87:H87)</f>
        <v/>
      </c>
      <c r="J87" s="102">
        <f>C87-I87</f>
        <v/>
      </c>
    </row>
    <row r="88" ht="15" customHeight="1" s="59">
      <c r="A88" s="103" t="n"/>
      <c r="B88" s="93" t="inlineStr">
        <is>
          <t>Washing machine</t>
        </is>
      </c>
      <c r="C88" s="101" t="n"/>
      <c r="D88" s="101" t="n"/>
      <c r="E88" s="101" t="n"/>
      <c r="F88" s="101" t="n"/>
      <c r="G88" s="101" t="n"/>
      <c r="H88" s="101" t="n"/>
      <c r="I88" s="102">
        <f>SUM(D88:H88)</f>
        <v/>
      </c>
      <c r="J88" s="102">
        <f>C88-I88</f>
        <v/>
      </c>
    </row>
    <row r="89" ht="15" customHeight="1" s="59">
      <c r="A89" s="103" t="n"/>
      <c r="B89" s="93" t="inlineStr">
        <is>
          <t>TV</t>
        </is>
      </c>
      <c r="C89" s="101" t="n"/>
      <c r="D89" s="101" t="n"/>
      <c r="E89" s="101" t="n"/>
      <c r="F89" s="101" t="n"/>
      <c r="G89" s="101" t="n"/>
      <c r="H89" s="101" t="n"/>
      <c r="I89" s="102">
        <f>SUM(D89:H89)</f>
        <v/>
      </c>
      <c r="J89" s="102">
        <f>C89-I89</f>
        <v/>
      </c>
    </row>
    <row r="90" ht="15" customHeight="1" s="59">
      <c r="A90" s="103" t="n"/>
      <c r="B90" s="93" t="inlineStr">
        <is>
          <t>Furniture</t>
        </is>
      </c>
      <c r="C90" s="101" t="n"/>
      <c r="D90" s="101" t="n"/>
      <c r="E90" s="101" t="n"/>
      <c r="F90" s="101" t="n"/>
      <c r="G90" s="101" t="n"/>
      <c r="H90" s="101" t="n"/>
      <c r="I90" s="102">
        <f>SUM(D90:H90)</f>
        <v/>
      </c>
      <c r="J90" s="102">
        <f>C90-I90</f>
        <v/>
      </c>
    </row>
    <row r="91" ht="15" customHeight="1" s="59">
      <c r="A91" s="103" t="n"/>
      <c r="B91" s="93" t="inlineStr">
        <is>
          <t>Oven</t>
        </is>
      </c>
      <c r="C91" s="101" t="n"/>
      <c r="D91" s="101" t="n"/>
      <c r="E91" s="101" t="n"/>
      <c r="F91" s="101" t="n"/>
      <c r="G91" s="101" t="n"/>
      <c r="H91" s="101" t="n"/>
      <c r="I91" s="102">
        <f>SUM(D91:H91)</f>
        <v/>
      </c>
      <c r="J91" s="102">
        <f>C91-I91</f>
        <v/>
      </c>
    </row>
    <row r="92" ht="15" customHeight="1" s="59">
      <c r="A92" s="104" t="n"/>
      <c r="B92" s="93" t="inlineStr">
        <is>
          <t>Kitchen appliances</t>
        </is>
      </c>
      <c r="C92" s="101" t="n"/>
      <c r="D92" s="101" t="n"/>
      <c r="E92" s="101" t="n"/>
      <c r="F92" s="101" t="n"/>
      <c r="G92" s="101" t="n"/>
      <c r="H92" s="101" t="n"/>
      <c r="I92" s="102">
        <f>SUM(D92:H92)</f>
        <v/>
      </c>
      <c r="J92" s="102">
        <f>C92-I92</f>
        <v/>
      </c>
    </row>
    <row r="93" ht="15" customHeight="1" s="59">
      <c r="A93" s="105" t="n"/>
      <c r="B93" s="106" t="inlineStr">
        <is>
          <t>Total</t>
        </is>
      </c>
      <c r="C93" s="107">
        <f>SUM(C87:C92)</f>
        <v/>
      </c>
      <c r="D93" s="107">
        <f>SUM(D87:D92)</f>
        <v/>
      </c>
      <c r="E93" s="107">
        <f>SUM(E87:E92)</f>
        <v/>
      </c>
      <c r="F93" s="107">
        <f>SUM(F87:F92)</f>
        <v/>
      </c>
      <c r="G93" s="107">
        <f>SUM(G87:G92)</f>
        <v/>
      </c>
      <c r="H93" s="107">
        <f>SUM(H87:H92)</f>
        <v/>
      </c>
      <c r="I93" s="107">
        <f>SUM(I87:I92)</f>
        <v/>
      </c>
      <c r="J93" s="107">
        <f>SUM(J87:J92)</f>
        <v/>
      </c>
    </row>
    <row r="94" ht="15" customHeight="1" s="59">
      <c r="A94" s="100" t="inlineStr">
        <is>
          <t>Taxes - all</t>
        </is>
      </c>
      <c r="B94" s="93" t="inlineStr">
        <is>
          <t>Income tax</t>
        </is>
      </c>
      <c r="C94" s="101" t="n"/>
      <c r="D94" s="101" t="n"/>
      <c r="E94" s="101" t="n"/>
      <c r="F94" s="101" t="n"/>
      <c r="G94" s="101" t="n"/>
      <c r="H94" s="101" t="n"/>
      <c r="I94" s="102">
        <f>SUM(D94:H94)</f>
        <v/>
      </c>
      <c r="J94" s="102">
        <f>C94-I94</f>
        <v/>
      </c>
    </row>
    <row r="95" ht="15" customHeight="1" s="59">
      <c r="A95" s="103" t="n"/>
      <c r="B95" s="93" t="inlineStr">
        <is>
          <t>House Tax 1</t>
        </is>
      </c>
      <c r="C95" s="101" t="n"/>
      <c r="D95" s="101" t="n"/>
      <c r="E95" s="101" t="n"/>
      <c r="F95" s="101" t="n"/>
      <c r="G95" s="101" t="n"/>
      <c r="H95" s="101" t="n"/>
      <c r="I95" s="102">
        <f>SUM(D95:H95)</f>
        <v/>
      </c>
      <c r="J95" s="102">
        <f>C95-I95</f>
        <v/>
      </c>
    </row>
    <row r="96" ht="15" customHeight="1" s="59">
      <c r="A96" s="103" t="n"/>
      <c r="B96" s="93" t="inlineStr">
        <is>
          <t>House Tax 2</t>
        </is>
      </c>
      <c r="C96" s="101" t="n"/>
      <c r="D96" s="101" t="n"/>
      <c r="E96" s="101" t="n"/>
      <c r="F96" s="101" t="n"/>
      <c r="G96" s="101" t="n"/>
      <c r="H96" s="101" t="n"/>
      <c r="I96" s="102">
        <f>SUM(D96:H96)</f>
        <v/>
      </c>
      <c r="J96" s="102">
        <f>C96-I96</f>
        <v/>
      </c>
    </row>
    <row r="97" ht="15" customHeight="1" s="59">
      <c r="A97" s="103" t="n"/>
      <c r="B97" s="93" t="inlineStr">
        <is>
          <t>House Tax 3</t>
        </is>
      </c>
      <c r="C97" s="101" t="n"/>
      <c r="D97" s="101" t="n"/>
      <c r="E97" s="101" t="n"/>
      <c r="F97" s="101" t="n"/>
      <c r="G97" s="101" t="n"/>
      <c r="H97" s="101" t="n"/>
      <c r="I97" s="102">
        <f>SUM(D97:H97)</f>
        <v/>
      </c>
      <c r="J97" s="102">
        <f>C97-I97</f>
        <v/>
      </c>
    </row>
    <row r="98" ht="15" customHeight="1" s="59">
      <c r="A98" s="103" t="n"/>
      <c r="B98" s="93" t="inlineStr">
        <is>
          <t>Water Tax 1</t>
        </is>
      </c>
      <c r="C98" s="101" t="n"/>
      <c r="D98" s="101" t="n"/>
      <c r="E98" s="101" t="n"/>
      <c r="F98" s="101" t="n"/>
      <c r="G98" s="101" t="n"/>
      <c r="H98" s="101" t="n"/>
      <c r="I98" s="102">
        <f>SUM(D98:H98)</f>
        <v/>
      </c>
      <c r="J98" s="102">
        <f>C98-I98</f>
        <v/>
      </c>
    </row>
    <row r="99" ht="15" customHeight="1" s="59">
      <c r="A99" s="103" t="n"/>
      <c r="B99" s="93" t="inlineStr">
        <is>
          <t>Water Tax 2</t>
        </is>
      </c>
      <c r="C99" s="101" t="n"/>
      <c r="D99" s="101" t="n"/>
      <c r="E99" s="101" t="n"/>
      <c r="F99" s="101" t="n"/>
      <c r="G99" s="101" t="n"/>
      <c r="H99" s="101" t="n"/>
      <c r="I99" s="102">
        <f>SUM(D99:H99)</f>
        <v/>
      </c>
      <c r="J99" s="102">
        <f>C99-I99</f>
        <v/>
      </c>
    </row>
    <row r="100" ht="15" customHeight="1" s="59">
      <c r="A100" s="103" t="n"/>
      <c r="B100" s="93" t="inlineStr">
        <is>
          <t>Water Tax 3</t>
        </is>
      </c>
      <c r="C100" s="101" t="n"/>
      <c r="D100" s="101" t="n"/>
      <c r="E100" s="101" t="n"/>
      <c r="F100" s="101" t="n"/>
      <c r="G100" s="101" t="n"/>
      <c r="H100" s="101" t="n"/>
      <c r="I100" s="102">
        <f>SUM(D100:H100)</f>
        <v/>
      </c>
      <c r="J100" s="102">
        <f>C100-I100</f>
        <v/>
      </c>
    </row>
    <row r="101" ht="15" customHeight="1" s="59">
      <c r="A101" s="104" t="n"/>
      <c r="B101" s="93" t="inlineStr">
        <is>
          <t>Other</t>
        </is>
      </c>
      <c r="C101" s="101" t="n"/>
      <c r="D101" s="101" t="n"/>
      <c r="E101" s="101" t="n"/>
      <c r="F101" s="101" t="n"/>
      <c r="G101" s="101" t="n"/>
      <c r="H101" s="101" t="n"/>
      <c r="I101" s="102">
        <f>SUM(D101:H101)</f>
        <v/>
      </c>
      <c r="J101" s="102">
        <f>C101-I101</f>
        <v/>
      </c>
    </row>
    <row r="102" ht="15" customHeight="1" s="59">
      <c r="A102" s="105" t="n"/>
      <c r="B102" s="106" t="inlineStr">
        <is>
          <t>Total</t>
        </is>
      </c>
      <c r="C102" s="107">
        <f>SUM(C94:C101)</f>
        <v/>
      </c>
      <c r="D102" s="107">
        <f>SUM(D94:D101)</f>
        <v/>
      </c>
      <c r="E102" s="107">
        <f>SUM(E94:E101)</f>
        <v/>
      </c>
      <c r="F102" s="107">
        <f>SUM(F94:F101)</f>
        <v/>
      </c>
      <c r="G102" s="107">
        <f>SUM(G94:G101)</f>
        <v/>
      </c>
      <c r="H102" s="107">
        <f>SUM(H94:H101)</f>
        <v/>
      </c>
      <c r="I102" s="107">
        <f>SUM(I94:I101)</f>
        <v/>
      </c>
      <c r="J102" s="107">
        <f>SUM(J94:J101)</f>
        <v/>
      </c>
    </row>
    <row r="103" ht="15" customHeight="1" s="59">
      <c r="A103" s="100" t="inlineStr">
        <is>
          <t>Savings or Investments</t>
        </is>
      </c>
      <c r="B103" s="93" t="inlineStr">
        <is>
          <t>PF deductions</t>
        </is>
      </c>
      <c r="C103" s="101" t="n"/>
      <c r="D103" s="101" t="n"/>
      <c r="E103" s="101" t="n"/>
      <c r="F103" s="101" t="n"/>
      <c r="G103" s="101" t="n"/>
      <c r="H103" s="101" t="n"/>
      <c r="I103" s="102">
        <f>SUM(D103:H103)</f>
        <v/>
      </c>
      <c r="J103" s="102">
        <f>C103-I103</f>
        <v/>
      </c>
    </row>
    <row r="104" ht="15" customHeight="1" s="59">
      <c r="A104" s="103" t="n"/>
      <c r="B104" s="93" t="inlineStr">
        <is>
          <t>Pension deduction</t>
        </is>
      </c>
      <c r="C104" s="101" t="n"/>
      <c r="D104" s="101" t="n"/>
      <c r="E104" s="101" t="n"/>
      <c r="F104" s="101" t="n"/>
      <c r="G104" s="101" t="n"/>
      <c r="H104" s="101" t="n"/>
      <c r="I104" s="102">
        <f>SUM(D104:H104)</f>
        <v/>
      </c>
      <c r="J104" s="102">
        <f>C104-I104</f>
        <v/>
      </c>
    </row>
    <row r="105" ht="15" customHeight="1" s="59">
      <c r="A105" s="103" t="n"/>
      <c r="B105" s="93" t="inlineStr">
        <is>
          <t>Retirement account</t>
        </is>
      </c>
      <c r="C105" s="101" t="n"/>
      <c r="D105" s="101" t="n"/>
      <c r="E105" s="101" t="n"/>
      <c r="F105" s="101" t="n"/>
      <c r="G105" s="101" t="n"/>
      <c r="H105" s="101" t="n"/>
      <c r="I105" s="102">
        <f>SUM(D105:H105)</f>
        <v/>
      </c>
      <c r="J105" s="102">
        <f>C105-I105</f>
        <v/>
      </c>
    </row>
    <row r="106" ht="15" customHeight="1" s="59">
      <c r="A106" s="103" t="n"/>
      <c r="B106" s="93" t="inlineStr">
        <is>
          <t>Investment account</t>
        </is>
      </c>
      <c r="C106" s="101" t="n"/>
      <c r="D106" s="101" t="n"/>
      <c r="E106" s="101" t="n"/>
      <c r="F106" s="101" t="n"/>
      <c r="G106" s="101" t="n"/>
      <c r="H106" s="101" t="n"/>
      <c r="I106" s="102">
        <f>SUM(D106:H106)</f>
        <v/>
      </c>
      <c r="J106" s="102">
        <f>C106-I106</f>
        <v/>
      </c>
    </row>
    <row r="107" ht="15" customHeight="1" s="59">
      <c r="A107" s="103" t="n"/>
      <c r="B107" s="93" t="inlineStr">
        <is>
          <t>Education</t>
        </is>
      </c>
      <c r="C107" s="101" t="n"/>
      <c r="D107" s="101" t="n"/>
      <c r="E107" s="101" t="n"/>
      <c r="F107" s="101" t="n"/>
      <c r="G107" s="101" t="n"/>
      <c r="H107" s="101" t="n"/>
      <c r="I107" s="102">
        <f>SUM(D107:H107)</f>
        <v/>
      </c>
      <c r="J107" s="102">
        <f>C107-I107</f>
        <v/>
      </c>
    </row>
    <row r="108" ht="15" customHeight="1" s="59">
      <c r="A108" s="103" t="n"/>
      <c r="B108" s="93" t="inlineStr">
        <is>
          <t>Marriage</t>
        </is>
      </c>
      <c r="C108" s="101" t="n"/>
      <c r="D108" s="101" t="n"/>
      <c r="E108" s="101" t="n"/>
      <c r="F108" s="101" t="n"/>
      <c r="G108" s="101" t="n"/>
      <c r="H108" s="101" t="n"/>
      <c r="I108" s="102">
        <f>SUM(D108:H108)</f>
        <v/>
      </c>
      <c r="J108" s="102">
        <f>C108-I108</f>
        <v/>
      </c>
    </row>
    <row r="109" ht="15" customHeight="1" s="59">
      <c r="A109" s="103" t="n"/>
      <c r="B109" s="93" t="inlineStr">
        <is>
          <t>Travel</t>
        </is>
      </c>
      <c r="C109" s="101" t="n"/>
      <c r="D109" s="101" t="n"/>
      <c r="E109" s="101" t="n"/>
      <c r="F109" s="101" t="n"/>
      <c r="G109" s="101" t="n"/>
      <c r="H109" s="101" t="n"/>
      <c r="I109" s="102">
        <f>SUM(D109:H109)</f>
        <v/>
      </c>
      <c r="J109" s="102">
        <f>C109-I109</f>
        <v/>
      </c>
    </row>
    <row r="110" ht="15" customHeight="1" s="59">
      <c r="A110" s="103" t="n"/>
      <c r="B110" s="93" t="inlineStr">
        <is>
          <t>Home - seed money</t>
        </is>
      </c>
      <c r="C110" s="101" t="n"/>
      <c r="D110" s="101" t="n"/>
      <c r="E110" s="101" t="n"/>
      <c r="F110" s="101" t="n"/>
      <c r="G110" s="101" t="n"/>
      <c r="H110" s="101" t="n"/>
      <c r="I110" s="102">
        <f>SUM(D110:H110)</f>
        <v/>
      </c>
      <c r="J110" s="102">
        <f>C110-I110</f>
        <v/>
      </c>
    </row>
    <row r="111" ht="15" customHeight="1" s="59">
      <c r="A111" s="104" t="n"/>
      <c r="B111" s="93" t="inlineStr">
        <is>
          <t>Tax savings related</t>
        </is>
      </c>
      <c r="C111" s="101" t="n"/>
      <c r="D111" s="101" t="n"/>
      <c r="E111" s="101" t="n"/>
      <c r="F111" s="101" t="n"/>
      <c r="G111" s="101" t="n"/>
      <c r="H111" s="101" t="n"/>
      <c r="I111" s="102">
        <f>SUM(D111:H111)</f>
        <v/>
      </c>
      <c r="J111" s="102">
        <f>C111-I111</f>
        <v/>
      </c>
    </row>
    <row r="112" ht="15" customHeight="1" s="59">
      <c r="A112" s="105" t="n"/>
      <c r="B112" s="106" t="inlineStr">
        <is>
          <t>Total</t>
        </is>
      </c>
      <c r="C112" s="107">
        <f>SUM(C103:C111)</f>
        <v/>
      </c>
      <c r="D112" s="107">
        <f>SUM(D103:D111)</f>
        <v/>
      </c>
      <c r="E112" s="107">
        <f>SUM(E103:E111)</f>
        <v/>
      </c>
      <c r="F112" s="107">
        <f>SUM(F103:F111)</f>
        <v/>
      </c>
      <c r="G112" s="107">
        <f>SUM(G103:G111)</f>
        <v/>
      </c>
      <c r="H112" s="107">
        <f>SUM(H103:H111)</f>
        <v/>
      </c>
      <c r="I112" s="107">
        <f>SUM(I103:I111)</f>
        <v/>
      </c>
      <c r="J112" s="107">
        <f>SUM(J103:J111)</f>
        <v/>
      </c>
    </row>
    <row r="113" ht="15" customHeight="1" s="59">
      <c r="A113" s="100" t="inlineStr">
        <is>
          <t>Loans repayment</t>
        </is>
      </c>
      <c r="B113" s="93" t="inlineStr">
        <is>
          <t>Personal</t>
        </is>
      </c>
      <c r="C113" s="101" t="n"/>
      <c r="D113" s="101" t="n"/>
      <c r="E113" s="101" t="n"/>
      <c r="F113" s="101" t="n"/>
      <c r="G113" s="101" t="n"/>
      <c r="H113" s="101" t="n"/>
      <c r="I113" s="102">
        <f>SUM(D113:H113)</f>
        <v/>
      </c>
      <c r="J113" s="102">
        <f>C113-I113</f>
        <v/>
      </c>
    </row>
    <row r="114" ht="15" customHeight="1" s="59">
      <c r="A114" s="103" t="n"/>
      <c r="B114" s="93" t="inlineStr">
        <is>
          <t>Student</t>
        </is>
      </c>
      <c r="C114" s="101" t="n"/>
      <c r="D114" s="101" t="n"/>
      <c r="E114" s="101" t="n"/>
      <c r="F114" s="101" t="n"/>
      <c r="G114" s="101" t="n"/>
      <c r="H114" s="101" t="n"/>
      <c r="I114" s="102">
        <f>SUM(D114:H114)</f>
        <v/>
      </c>
      <c r="J114" s="102">
        <f>C114-I114</f>
        <v/>
      </c>
    </row>
    <row r="115" ht="15" customHeight="1" s="59">
      <c r="A115" s="103" t="n"/>
      <c r="B115" s="93" t="inlineStr">
        <is>
          <t>Home loan</t>
        </is>
      </c>
      <c r="C115" s="101" t="n"/>
      <c r="D115" s="101" t="n"/>
      <c r="E115" s="101" t="n"/>
      <c r="F115" s="101" t="n"/>
      <c r="G115" s="101" t="n"/>
      <c r="H115" s="101" t="n"/>
      <c r="I115" s="102">
        <f>SUM(D115:H115)</f>
        <v/>
      </c>
      <c r="J115" s="102">
        <f>C115-I115</f>
        <v/>
      </c>
    </row>
    <row r="116" ht="15" customHeight="1" s="59">
      <c r="A116" s="103" t="n"/>
      <c r="B116" s="93" t="inlineStr">
        <is>
          <t>Home loan</t>
        </is>
      </c>
      <c r="C116" s="101" t="n"/>
      <c r="D116" s="101" t="n"/>
      <c r="E116" s="101" t="n"/>
      <c r="F116" s="101" t="n"/>
      <c r="G116" s="101" t="n"/>
      <c r="H116" s="101" t="n"/>
      <c r="I116" s="102">
        <f>SUM(D116:H116)</f>
        <v/>
      </c>
      <c r="J116" s="102">
        <f>C116-I116</f>
        <v/>
      </c>
    </row>
    <row r="117" ht="15" customHeight="1" s="59">
      <c r="A117" s="103" t="n"/>
      <c r="B117" s="93" t="inlineStr">
        <is>
          <t>Home loan</t>
        </is>
      </c>
      <c r="C117" s="101" t="n"/>
      <c r="D117" s="101" t="n"/>
      <c r="E117" s="101" t="n"/>
      <c r="F117" s="101" t="n"/>
      <c r="G117" s="101" t="n"/>
      <c r="H117" s="101" t="n"/>
      <c r="I117" s="102">
        <f>SUM(D117:H117)</f>
        <v/>
      </c>
      <c r="J117" s="102">
        <f>C117-I117</f>
        <v/>
      </c>
    </row>
    <row r="118" ht="15" customHeight="1" s="59">
      <c r="A118" s="103" t="n"/>
      <c r="B118" s="93" t="inlineStr">
        <is>
          <t>Car loan</t>
        </is>
      </c>
      <c r="C118" s="101" t="n"/>
      <c r="D118" s="101" t="n"/>
      <c r="E118" s="101" t="n"/>
      <c r="F118" s="101" t="n"/>
      <c r="G118" s="101" t="n"/>
      <c r="H118" s="101" t="n"/>
      <c r="I118" s="102">
        <f>SUM(D118:H118)</f>
        <v/>
      </c>
      <c r="J118" s="102">
        <f>C118-I118</f>
        <v/>
      </c>
    </row>
    <row r="119" ht="15" customHeight="1" s="59">
      <c r="A119" s="103" t="n"/>
      <c r="B119" s="93" t="inlineStr">
        <is>
          <t>2 wheeler loan</t>
        </is>
      </c>
      <c r="C119" s="101" t="n"/>
      <c r="D119" s="101" t="n"/>
      <c r="E119" s="101" t="n"/>
      <c r="F119" s="101" t="n"/>
      <c r="G119" s="101" t="n"/>
      <c r="H119" s="101" t="n"/>
      <c r="I119" s="102">
        <f>SUM(D119:H119)</f>
        <v/>
      </c>
      <c r="J119" s="102">
        <f>C119-I119</f>
        <v/>
      </c>
    </row>
    <row r="120" ht="15" customHeight="1" s="59">
      <c r="A120" s="103" t="n"/>
      <c r="B120" s="93" t="inlineStr">
        <is>
          <t>Credit card outstanding 1</t>
        </is>
      </c>
      <c r="C120" s="101" t="n"/>
      <c r="D120" s="101" t="n"/>
      <c r="E120" s="101" t="n"/>
      <c r="F120" s="101" t="n"/>
      <c r="G120" s="101" t="n"/>
      <c r="H120" s="101" t="n"/>
      <c r="I120" s="102">
        <f>SUM(D120:H120)</f>
        <v/>
      </c>
      <c r="J120" s="102">
        <f>C120-I120</f>
        <v/>
      </c>
    </row>
    <row r="121" ht="15" customHeight="1" s="59">
      <c r="A121" s="103" t="n"/>
      <c r="B121" s="93" t="inlineStr">
        <is>
          <t>Credit card outstanding 2</t>
        </is>
      </c>
      <c r="C121" s="101" t="n"/>
      <c r="D121" s="101" t="n"/>
      <c r="E121" s="101" t="n"/>
      <c r="F121" s="101" t="n"/>
      <c r="G121" s="101" t="n"/>
      <c r="H121" s="101" t="n"/>
      <c r="I121" s="102">
        <f>SUM(D121:H121)</f>
        <v/>
      </c>
      <c r="J121" s="102">
        <f>C121-I121</f>
        <v/>
      </c>
    </row>
    <row r="122" ht="15" customHeight="1" s="59">
      <c r="A122" s="104" t="n"/>
      <c r="B122" s="93" t="inlineStr">
        <is>
          <t>Other</t>
        </is>
      </c>
      <c r="C122" s="101" t="n"/>
      <c r="D122" s="101" t="n"/>
      <c r="E122" s="101" t="n"/>
      <c r="F122" s="101" t="n"/>
      <c r="G122" s="101" t="n"/>
      <c r="H122" s="101" t="n"/>
      <c r="I122" s="102">
        <f>SUM(D122:H122)</f>
        <v/>
      </c>
      <c r="J122" s="102">
        <f>C122-I122</f>
        <v/>
      </c>
    </row>
    <row r="123" ht="15" customHeight="1" s="59">
      <c r="A123" s="105" t="n"/>
      <c r="B123" s="106" t="inlineStr">
        <is>
          <t>Total</t>
        </is>
      </c>
      <c r="C123" s="107">
        <f>SUM(C113:C122)</f>
        <v/>
      </c>
      <c r="D123" s="107">
        <f>SUM(D113:D122)</f>
        <v/>
      </c>
      <c r="E123" s="107">
        <f>SUM(E113:E122)</f>
        <v/>
      </c>
      <c r="F123" s="107">
        <f>SUM(F113:F122)</f>
        <v/>
      </c>
      <c r="G123" s="107">
        <f>SUM(G113:G122)</f>
        <v/>
      </c>
      <c r="H123" s="107">
        <f>SUM(H113:H122)</f>
        <v/>
      </c>
      <c r="I123" s="107">
        <f>SUM(I113:I122)</f>
        <v/>
      </c>
      <c r="J123" s="107">
        <f>SUM(J113:J122)</f>
        <v/>
      </c>
    </row>
    <row r="124" ht="15" customHeight="1" s="59">
      <c r="A124" s="100" t="inlineStr">
        <is>
          <t>Insurance</t>
        </is>
      </c>
      <c r="B124" s="93" t="inlineStr">
        <is>
          <t>Home</t>
        </is>
      </c>
      <c r="C124" s="101" t="n"/>
      <c r="D124" s="101" t="n"/>
      <c r="E124" s="101" t="n"/>
      <c r="F124" s="101" t="n"/>
      <c r="G124" s="101" t="n"/>
      <c r="H124" s="101" t="n"/>
      <c r="I124" s="102">
        <f>SUM(D124:H124)</f>
        <v/>
      </c>
      <c r="J124" s="102">
        <f>C124-I124</f>
        <v/>
      </c>
    </row>
    <row r="125" ht="15" customHeight="1" s="59">
      <c r="A125" s="103" t="n"/>
      <c r="B125" s="93" t="inlineStr">
        <is>
          <t>Health</t>
        </is>
      </c>
      <c r="C125" s="101" t="n"/>
      <c r="D125" s="101" t="n"/>
      <c r="E125" s="101" t="n"/>
      <c r="F125" s="101" t="n"/>
      <c r="G125" s="101" t="n"/>
      <c r="H125" s="101" t="n"/>
      <c r="I125" s="102">
        <f>SUM(D125:H125)</f>
        <v/>
      </c>
      <c r="J125" s="102">
        <f>C125-I125</f>
        <v/>
      </c>
    </row>
    <row r="126" ht="15" customHeight="1" s="59">
      <c r="A126" s="103" t="n"/>
      <c r="B126" s="93" t="inlineStr">
        <is>
          <t>Life - all included</t>
        </is>
      </c>
      <c r="C126" s="101" t="n"/>
      <c r="D126" s="101" t="n"/>
      <c r="E126" s="101" t="n"/>
      <c r="F126" s="101" t="n"/>
      <c r="G126" s="101" t="n"/>
      <c r="H126" s="101" t="n"/>
      <c r="I126" s="102">
        <f>SUM(D126:H126)</f>
        <v/>
      </c>
      <c r="J126" s="102">
        <f>C126-I126</f>
        <v/>
      </c>
    </row>
    <row r="127" ht="15" customHeight="1" s="59">
      <c r="A127" s="103" t="n"/>
      <c r="B127" s="93" t="inlineStr">
        <is>
          <t>Auto - all vehicles</t>
        </is>
      </c>
      <c r="C127" s="101" t="n"/>
      <c r="D127" s="101" t="n"/>
      <c r="E127" s="101" t="n"/>
      <c r="F127" s="101" t="n"/>
      <c r="G127" s="101" t="n"/>
      <c r="H127" s="101" t="n"/>
      <c r="I127" s="102">
        <f>SUM(D127:H127)</f>
        <v/>
      </c>
      <c r="J127" s="102">
        <f>C127-I127</f>
        <v/>
      </c>
    </row>
    <row r="128" ht="15" customHeight="1" s="59">
      <c r="A128" s="104" t="n"/>
      <c r="B128" s="93" t="inlineStr">
        <is>
          <t>Others</t>
        </is>
      </c>
      <c r="C128" s="101" t="n"/>
      <c r="D128" s="101" t="n"/>
      <c r="E128" s="101" t="n"/>
      <c r="F128" s="101" t="n"/>
      <c r="G128" s="101" t="n"/>
      <c r="H128" s="101" t="n"/>
      <c r="I128" s="102">
        <f>SUM(D128:H128)</f>
        <v/>
      </c>
      <c r="J128" s="102">
        <f>C128-I128</f>
        <v/>
      </c>
    </row>
    <row r="129" ht="15" customHeight="1" s="59">
      <c r="A129" s="105" t="n"/>
      <c r="B129" s="106" t="inlineStr">
        <is>
          <t>Total</t>
        </is>
      </c>
      <c r="C129" s="107">
        <f>SUM(C124:C128)</f>
        <v/>
      </c>
      <c r="D129" s="107">
        <f>SUM(D124:D128)</f>
        <v/>
      </c>
      <c r="E129" s="107">
        <f>SUM(E124:E128)</f>
        <v/>
      </c>
      <c r="F129" s="107">
        <f>SUM(F124:F128)</f>
        <v/>
      </c>
      <c r="G129" s="107">
        <f>SUM(G124:G128)</f>
        <v/>
      </c>
      <c r="H129" s="107">
        <f>SUM(H124:H128)</f>
        <v/>
      </c>
      <c r="I129" s="107">
        <f>SUM(I124:I128)</f>
        <v/>
      </c>
      <c r="J129" s="107">
        <f>SUM(J124:J128)</f>
        <v/>
      </c>
    </row>
    <row r="130" ht="15" customHeight="1" s="59">
      <c r="A130" s="100" t="inlineStr">
        <is>
          <t>Personal</t>
        </is>
      </c>
      <c r="B130" s="93" t="inlineStr">
        <is>
          <t>Food</t>
        </is>
      </c>
      <c r="C130" s="101" t="n"/>
      <c r="D130" s="101" t="n"/>
      <c r="E130" s="101" t="n"/>
      <c r="F130" s="101" t="n"/>
      <c r="G130" s="101" t="n"/>
      <c r="H130" s="101" t="n"/>
      <c r="I130" s="102">
        <f>SUM(D130:H130)</f>
        <v/>
      </c>
      <c r="J130" s="102">
        <f>C130-I130</f>
        <v/>
      </c>
    </row>
    <row r="131" ht="15" customHeight="1" s="59">
      <c r="A131" s="103" t="n"/>
      <c r="B131" s="93" t="inlineStr">
        <is>
          <t>Medical</t>
        </is>
      </c>
      <c r="C131" s="101" t="n"/>
      <c r="D131" s="101" t="n"/>
      <c r="E131" s="101" t="n"/>
      <c r="F131" s="101" t="n"/>
      <c r="G131" s="101" t="n"/>
      <c r="H131" s="101" t="n"/>
      <c r="I131" s="102">
        <f>SUM(D131:H131)</f>
        <v/>
      </c>
      <c r="J131" s="102">
        <f>C131-I131</f>
        <v/>
      </c>
    </row>
    <row r="132" ht="15" customHeight="1" s="59">
      <c r="A132" s="103" t="n"/>
      <c r="B132" s="93" t="inlineStr">
        <is>
          <t>Grooming</t>
        </is>
      </c>
      <c r="C132" s="101" t="n"/>
      <c r="D132" s="101" t="n"/>
      <c r="E132" s="101" t="n"/>
      <c r="F132" s="101" t="n"/>
      <c r="G132" s="101" t="n"/>
      <c r="H132" s="101" t="n"/>
      <c r="I132" s="102">
        <f>SUM(D132:H132)</f>
        <v/>
      </c>
      <c r="J132" s="102">
        <f>C132-I132</f>
        <v/>
      </c>
    </row>
    <row r="133" ht="15" customHeight="1" s="59">
      <c r="A133" s="103" t="n"/>
      <c r="B133" s="93" t="inlineStr">
        <is>
          <t>Toys</t>
        </is>
      </c>
      <c r="C133" s="101" t="n"/>
      <c r="D133" s="101" t="n"/>
      <c r="E133" s="101" t="n"/>
      <c r="F133" s="101" t="n"/>
      <c r="G133" s="101" t="n"/>
      <c r="H133" s="101" t="n"/>
      <c r="I133" s="102">
        <f>SUM(D133:H133)</f>
        <v/>
      </c>
      <c r="J133" s="102">
        <f>C133-I133</f>
        <v/>
      </c>
    </row>
    <row r="134" ht="15" customHeight="1" s="59">
      <c r="A134" s="104" t="n"/>
      <c r="B134" s="93" t="inlineStr">
        <is>
          <t>Other</t>
        </is>
      </c>
      <c r="C134" s="101" t="n"/>
      <c r="D134" s="101" t="n"/>
      <c r="E134" s="101" t="n"/>
      <c r="F134" s="101" t="n"/>
      <c r="G134" s="101" t="n"/>
      <c r="H134" s="101" t="n"/>
      <c r="I134" s="102">
        <f>SUM(D134:H134)</f>
        <v/>
      </c>
      <c r="J134" s="102">
        <f>C134-I134</f>
        <v/>
      </c>
    </row>
    <row r="135" ht="15" customHeight="1" s="59">
      <c r="A135" s="105" t="n"/>
      <c r="B135" s="106" t="inlineStr">
        <is>
          <t>Total</t>
        </is>
      </c>
      <c r="C135" s="107">
        <f>SUM(C130:C134)</f>
        <v/>
      </c>
      <c r="D135" s="107">
        <f>SUM(D130:D134)</f>
        <v/>
      </c>
      <c r="E135" s="107">
        <f>SUM(E130:E134)</f>
        <v/>
      </c>
      <c r="F135" s="107">
        <f>SUM(F130:F134)</f>
        <v/>
      </c>
      <c r="G135" s="107">
        <f>SUM(G130:G134)</f>
        <v/>
      </c>
      <c r="H135" s="107">
        <f>SUM(H130:H134)</f>
        <v/>
      </c>
      <c r="I135" s="107">
        <f>SUM(I130:I134)</f>
        <v/>
      </c>
      <c r="J135" s="107">
        <f>SUM(J130:J134)</f>
        <v/>
      </c>
    </row>
    <row r="136" ht="15" customHeight="1" s="59">
      <c r="A136" s="100" t="inlineStr">
        <is>
          <t>Charity</t>
        </is>
      </c>
      <c r="B136" s="93" t="inlineStr">
        <is>
          <t>Charity 1</t>
        </is>
      </c>
      <c r="C136" s="101" t="n"/>
      <c r="D136" s="101" t="n"/>
      <c r="E136" s="101" t="n"/>
      <c r="F136" s="101" t="n"/>
      <c r="G136" s="101" t="n"/>
      <c r="H136" s="101" t="n"/>
      <c r="I136" s="102">
        <f>SUM(D136:H136)</f>
        <v/>
      </c>
      <c r="J136" s="102">
        <f>C136-I136</f>
        <v/>
      </c>
    </row>
    <row r="137" ht="15" customHeight="1" s="59">
      <c r="A137" s="103" t="n"/>
      <c r="B137" s="93" t="inlineStr">
        <is>
          <t>Charity 2</t>
        </is>
      </c>
      <c r="C137" s="101" t="n"/>
      <c r="D137" s="101" t="n"/>
      <c r="E137" s="101" t="n"/>
      <c r="F137" s="101" t="n"/>
      <c r="G137" s="101" t="n"/>
      <c r="H137" s="101" t="n"/>
      <c r="I137" s="102">
        <f>SUM(D137:H137)</f>
        <v/>
      </c>
      <c r="J137" s="102">
        <f>C137-I137</f>
        <v/>
      </c>
    </row>
    <row r="138" ht="15" customHeight="1" s="59">
      <c r="A138" s="104" t="n"/>
      <c r="B138" s="93" t="inlineStr">
        <is>
          <t>Charity 3</t>
        </is>
      </c>
      <c r="C138" s="101" t="n"/>
      <c r="D138" s="101" t="n"/>
      <c r="E138" s="101" t="n"/>
      <c r="F138" s="101" t="n"/>
      <c r="G138" s="101" t="n"/>
      <c r="H138" s="101" t="n"/>
      <c r="I138" s="102">
        <f>SUM(D138:H138)</f>
        <v/>
      </c>
      <c r="J138" s="102">
        <f>C138-I138</f>
        <v/>
      </c>
    </row>
    <row r="139" ht="15" customHeight="1" s="59">
      <c r="A139" s="105" t="n"/>
      <c r="B139" s="106" t="inlineStr">
        <is>
          <t>Total</t>
        </is>
      </c>
      <c r="C139" s="107">
        <f>SUM(C136:C138)</f>
        <v/>
      </c>
      <c r="D139" s="107">
        <f>SUM(D136:D138)</f>
        <v/>
      </c>
      <c r="E139" s="107">
        <f>SUM(E136:E138)</f>
        <v/>
      </c>
      <c r="F139" s="107">
        <f>SUM(F136:F138)</f>
        <v/>
      </c>
      <c r="G139" s="107">
        <f>SUM(G136:G138)</f>
        <v/>
      </c>
      <c r="H139" s="107">
        <f>SUM(H136:H138)</f>
        <v/>
      </c>
      <c r="I139" s="107">
        <f>SUM(I136:I138)</f>
        <v/>
      </c>
      <c r="J139" s="107">
        <f>SUM(J136:J138)</f>
        <v/>
      </c>
    </row>
    <row r="140" ht="15" customHeight="1" s="59">
      <c r="A140" s="100" t="inlineStr">
        <is>
          <t>Others</t>
        </is>
      </c>
      <c r="B140" s="93" t="inlineStr">
        <is>
          <t>Other expense 1</t>
        </is>
      </c>
      <c r="C140" s="101" t="n"/>
      <c r="D140" s="101" t="n"/>
      <c r="E140" s="101" t="n"/>
      <c r="F140" s="101" t="n"/>
      <c r="G140" s="101" t="n"/>
      <c r="H140" s="101" t="n"/>
      <c r="I140" s="102">
        <f>SUM(D140:H140)</f>
        <v/>
      </c>
      <c r="J140" s="102">
        <f>C140-I140</f>
        <v/>
      </c>
    </row>
    <row r="141" ht="15" customHeight="1" s="59">
      <c r="A141" s="103" t="n"/>
      <c r="B141" s="93" t="inlineStr">
        <is>
          <t>Other expense 2</t>
        </is>
      </c>
      <c r="C141" s="101" t="n"/>
      <c r="D141" s="101" t="n"/>
      <c r="E141" s="101" t="n"/>
      <c r="F141" s="101" t="n"/>
      <c r="G141" s="101" t="n"/>
      <c r="H141" s="101" t="n"/>
      <c r="I141" s="102">
        <f>SUM(D141:H141)</f>
        <v/>
      </c>
      <c r="J141" s="102">
        <f>C141-I141</f>
        <v/>
      </c>
    </row>
    <row r="142" ht="15" customHeight="1" s="59">
      <c r="A142" s="104" t="n"/>
      <c r="B142" s="93" t="inlineStr">
        <is>
          <t>Other expense 3</t>
        </is>
      </c>
      <c r="C142" s="101" t="n"/>
      <c r="D142" s="101" t="n"/>
      <c r="E142" s="101" t="n"/>
      <c r="F142" s="101" t="n"/>
      <c r="G142" s="101" t="n"/>
      <c r="H142" s="101" t="n"/>
      <c r="I142" s="102">
        <f>SUM(D142:H142)</f>
        <v/>
      </c>
      <c r="J142" s="102">
        <f>C142-I142</f>
        <v/>
      </c>
    </row>
    <row r="143" ht="15" customHeight="1" s="59">
      <c r="A143" s="105" t="n"/>
      <c r="B143" s="106" t="inlineStr">
        <is>
          <t>Total</t>
        </is>
      </c>
      <c r="C143" s="107">
        <f>SUM(C140:C142)</f>
        <v/>
      </c>
      <c r="D143" s="107">
        <f>SUM(D140:D142)</f>
        <v/>
      </c>
      <c r="E143" s="107">
        <f>SUM(E140:E142)</f>
        <v/>
      </c>
      <c r="F143" s="107">
        <f>SUM(F140:F142)</f>
        <v/>
      </c>
      <c r="G143" s="107">
        <f>SUM(G140:G142)</f>
        <v/>
      </c>
      <c r="H143" s="107">
        <f>SUM(H140:H142)</f>
        <v/>
      </c>
      <c r="I143" s="107">
        <f>SUM(I140:I142)</f>
        <v/>
      </c>
      <c r="J143" s="107">
        <f>SUM(J140:J142)</f>
        <v/>
      </c>
    </row>
    <row r="144" ht="15" customHeight="1" s="59">
      <c r="A144" s="108" t="inlineStr">
        <is>
          <t>Overall total</t>
        </is>
      </c>
      <c r="B144" s="109" t="n"/>
      <c r="C144" s="110">
        <f>C30+C36+C49+C56+C65+C74+C78+C86+C93+C102+C112+C123+C129+C135+C139+C143</f>
        <v/>
      </c>
      <c r="D144" s="110">
        <f>D30+D36+D49+D56+D65+D74+D78+D86+D93+D102+D112+D123+D129+D135+D139+D143</f>
        <v/>
      </c>
      <c r="E144" s="110">
        <f>E30+E36+E49+E56+E65+E74+E78+E86+E93+E102+E112+E123+E129+E135+E139+E143</f>
        <v/>
      </c>
      <c r="F144" s="110">
        <f>F30+F36+F49+F56+F65+F74+F78+F86+F93+F102+F112+F123+F129+F135+F139+F143</f>
        <v/>
      </c>
      <c r="G144" s="110">
        <f>G30+G36+G49+G56+G65+G74+G78+G86+G93+G102+G112+G123+G129+G135+G139+G143</f>
        <v/>
      </c>
      <c r="H144" s="110">
        <f>H30+H36+H49+H56+H65+H74+H78+H86+H93+H102+H112+H123+H129+H135+H139+H143</f>
        <v/>
      </c>
      <c r="I144" s="110">
        <f>I30+I36+I49+I56+I65+I74+I78+I86+I93+I102+I112+I123+I129+I135+I139+I143</f>
        <v/>
      </c>
      <c r="J144" s="110">
        <f>J30+J36+J49+J56+J65+J74+J78+J86+J93+J102+J112+J123+J129+J135+J139+J143</f>
        <v/>
      </c>
    </row>
    <row r="146" ht="15.75" customHeight="1" s="59">
      <c r="A146" s="111" t="inlineStr">
        <is>
          <t>Net cash flow</t>
        </is>
      </c>
      <c r="C146" s="112">
        <f>I16-I144</f>
        <v/>
      </c>
    </row>
  </sheetData>
  <autoFilter ref="A18:J144"/>
  <mergeCells count="33">
    <mergeCell ref="D4:J4"/>
    <mergeCell ref="A8:J8"/>
    <mergeCell ref="A103:A111"/>
    <mergeCell ref="D3:J3"/>
    <mergeCell ref="A17:J17"/>
    <mergeCell ref="A3:C3"/>
    <mergeCell ref="A1:B1"/>
    <mergeCell ref="A146:B146"/>
    <mergeCell ref="A2:C2"/>
    <mergeCell ref="D5:J5"/>
    <mergeCell ref="A140:A142"/>
    <mergeCell ref="A5:C5"/>
    <mergeCell ref="A87:A92"/>
    <mergeCell ref="A50:A55"/>
    <mergeCell ref="A94:A101"/>
    <mergeCell ref="A130:A134"/>
    <mergeCell ref="D1:J1"/>
    <mergeCell ref="A4:C4"/>
    <mergeCell ref="A31:A35"/>
    <mergeCell ref="A66:A73"/>
    <mergeCell ref="D6:J6"/>
    <mergeCell ref="A79:A85"/>
    <mergeCell ref="A7:J7"/>
    <mergeCell ref="D2:J2"/>
    <mergeCell ref="A19:A29"/>
    <mergeCell ref="A75:A77"/>
    <mergeCell ref="A124:A128"/>
    <mergeCell ref="C9:I9"/>
    <mergeCell ref="A57:A64"/>
    <mergeCell ref="A113:A122"/>
    <mergeCell ref="A6:C6"/>
    <mergeCell ref="A136:A138"/>
    <mergeCell ref="A37:A48"/>
  </mergeCells>
  <conditionalFormatting sqref="J11:J144">
    <cfRule type="cellIs" rank="0" priority="2" equalAverage="0" operator="lessThan" aboveAverage="0" dxfId="7" text="" percent="0" bottom="0">
      <formula>0</formula>
    </cfRule>
  </conditionalFormatting>
  <conditionalFormatting sqref="C146">
    <cfRule type="cellIs" rank="0" priority="3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&amp;C&amp;9 My Assetz | Personal Financial Planning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8" min="1" max="8"/>
  </cols>
  <sheetData>
    <row r="1" ht="26.25" customHeight="1" s="59">
      <c r="A1" s="113" t="inlineStr">
        <is>
          <t>MY ASSETZ</t>
        </is>
      </c>
    </row>
    <row r="2" ht="17.25" customHeight="1" s="59">
      <c r="A2" s="114" t="inlineStr">
        <is>
          <t>Your Financial Plan Progress Report</t>
        </is>
      </c>
    </row>
    <row r="4" ht="27.75" customHeight="1" s="59">
      <c r="A4" s="92" t="inlineStr">
        <is>
          <t>Time Horizon</t>
        </is>
      </c>
      <c r="B4" s="92" t="inlineStr">
        <is>
          <t>Goal</t>
        </is>
      </c>
      <c r="C4" s="92" t="inlineStr">
        <is>
          <t>Priority of Goals</t>
        </is>
      </c>
      <c r="D4" s="92" t="inlineStr">
        <is>
          <t>Time Horizon</t>
        </is>
      </c>
      <c r="E4" s="92" t="inlineStr">
        <is>
          <t>Totally Required Investment</t>
        </is>
      </c>
      <c r="F4" s="92" t="inlineStr">
        <is>
          <t>Investments Already Made</t>
        </is>
      </c>
      <c r="G4" s="92" t="inlineStr">
        <is>
          <t>Balance / Monthly Investment Need</t>
        </is>
      </c>
      <c r="H4" s="92" t="inlineStr">
        <is>
          <t>Achievable or Not</t>
        </is>
      </c>
    </row>
    <row r="5" ht="27.75" customHeight="1" s="59">
      <c r="A5" s="115" t="inlineStr">
        <is>
          <t>Very short term investment requirement</t>
        </is>
      </c>
      <c r="B5" s="115" t="inlineStr">
        <is>
          <t>Buying a Honda City</t>
        </is>
      </c>
      <c r="C5" s="115" t="n"/>
      <c r="D5" s="115" t="inlineStr">
        <is>
          <t>&lt; 1 year</t>
        </is>
      </c>
      <c r="E5" s="115" t="n"/>
      <c r="F5" s="115" t="n"/>
      <c r="G5" s="116">
        <f>IF(OR(E5="",F5=""),"",E5-F5)</f>
        <v/>
      </c>
      <c r="H5" s="115">
        <f>IF(G5="","Enter values",IF(G5&lt;=0,"Review","To be assessed"))</f>
        <v/>
      </c>
    </row>
    <row r="6" ht="27.75" customHeight="1" s="59">
      <c r="A6" s="115" t="inlineStr">
        <is>
          <t>Short term investment requirement</t>
        </is>
      </c>
      <c r="B6" s="115" t="n"/>
      <c r="C6" s="115" t="n"/>
      <c r="D6" s="115" t="inlineStr">
        <is>
          <t>1 - 3 years</t>
        </is>
      </c>
      <c r="E6" s="115" t="n"/>
      <c r="F6" s="115" t="n"/>
      <c r="G6" s="116">
        <f>IF(OR(E6="",F6=""),"",E6-F6)</f>
        <v/>
      </c>
      <c r="H6" s="115">
        <f>IF(G6="","Enter values",IF(G6&lt;=0,"Review","To be assessed"))</f>
        <v/>
      </c>
    </row>
    <row r="7" ht="27.75" customHeight="1" s="59">
      <c r="A7" s="115" t="inlineStr">
        <is>
          <t>Medium term investment requirement</t>
        </is>
      </c>
      <c r="B7" s="115" t="n"/>
      <c r="C7" s="115" t="n"/>
      <c r="D7" s="115" t="inlineStr">
        <is>
          <t>3 - 5 years</t>
        </is>
      </c>
      <c r="E7" s="115" t="n"/>
      <c r="F7" s="115" t="n"/>
      <c r="G7" s="116">
        <f>IF(OR(E7="",F7=""),"",E7-F7)</f>
        <v/>
      </c>
      <c r="H7" s="115">
        <f>IF(G7="","Enter values",IF(G7&lt;=0,"Review","To be assessed"))</f>
        <v/>
      </c>
    </row>
    <row r="8" ht="27.75" customHeight="1" s="59">
      <c r="A8" s="115" t="inlineStr">
        <is>
          <t>Intermediate term investment</t>
        </is>
      </c>
      <c r="B8" s="115" t="inlineStr">
        <is>
          <t>Son's education</t>
        </is>
      </c>
      <c r="C8" s="115" t="n"/>
      <c r="D8" s="115" t="inlineStr">
        <is>
          <t>5 - 10 years</t>
        </is>
      </c>
      <c r="E8" s="115" t="n"/>
      <c r="F8" s="115" t="n"/>
      <c r="G8" s="116">
        <f>IF(OR(E8="",F8=""),"",E8-F8)</f>
        <v/>
      </c>
      <c r="H8" s="115">
        <f>IF(G8="","Enter values",IF(G8&lt;=0,"Review","To be assessed"))</f>
        <v/>
      </c>
    </row>
    <row r="9" ht="27.75" customHeight="1" s="59">
      <c r="A9" s="115" t="inlineStr">
        <is>
          <t>Long term investment requirement</t>
        </is>
      </c>
      <c r="B9" s="115" t="inlineStr">
        <is>
          <t>Retirement</t>
        </is>
      </c>
      <c r="C9" s="115" t="n"/>
      <c r="D9" s="115" t="inlineStr">
        <is>
          <t>&gt; 10 years</t>
        </is>
      </c>
      <c r="E9" s="115" t="n"/>
      <c r="F9" s="115" t="n"/>
      <c r="G9" s="116">
        <f>IF(OR(E9="",F9=""),"",E9-F9)</f>
        <v/>
      </c>
      <c r="H9" s="115">
        <f>IF(G9="","Enter values",IF(G9&lt;=0,"Review","To be assessed"))</f>
        <v/>
      </c>
    </row>
    <row r="12" ht="15" customHeight="1" s="59">
      <c r="A12" s="117" t="inlineStr">
        <is>
          <t>Please see comments provided in the cells</t>
        </is>
      </c>
    </row>
  </sheetData>
  <mergeCells count="3">
    <mergeCell ref="A12:H12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&amp;C&amp;9 My Assetz | Personal Financial Planning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58" min="1" max="8"/>
  </cols>
  <sheetData>
    <row r="1" ht="26.25" customHeight="1" s="59">
      <c r="A1" s="113" t="inlineStr">
        <is>
          <t>MY ASSETZ</t>
        </is>
      </c>
    </row>
    <row r="2" ht="17.25" customHeight="1" s="59">
      <c r="A2" s="114" t="inlineStr">
        <is>
          <t>Monthly Financial Dashboard</t>
        </is>
      </c>
    </row>
    <row r="4" ht="15" customHeight="1" s="59">
      <c r="A4" s="118" t="inlineStr">
        <is>
          <t>Total Income - Actual</t>
        </is>
      </c>
      <c r="B4" s="119">
        <f>'Budgeting Tool'!I16</f>
        <v/>
      </c>
    </row>
    <row r="5" ht="15" customHeight="1" s="59">
      <c r="A5" s="118" t="inlineStr">
        <is>
          <t>Total Expenses - Actual</t>
        </is>
      </c>
      <c r="B5" s="119">
        <f>'Budgeting Tool'!I144</f>
        <v/>
      </c>
    </row>
    <row r="6" ht="15" customHeight="1" s="59">
      <c r="A6" s="118" t="inlineStr">
        <is>
          <t>Net Cash Flow</t>
        </is>
      </c>
      <c r="B6" s="119">
        <f>'Budgeting Tool'!C146</f>
        <v/>
      </c>
    </row>
    <row r="9" ht="15" customHeight="1" s="59">
      <c r="A9" s="118" t="inlineStr">
        <is>
          <t>Expense Category</t>
        </is>
      </c>
      <c r="B9" s="118" t="inlineStr">
        <is>
          <t>Actual</t>
        </is>
      </c>
    </row>
    <row r="10" ht="15" customHeight="1" s="59">
      <c r="A10" s="120" t="inlineStr">
        <is>
          <t>Housing</t>
        </is>
      </c>
      <c r="B10" s="101">
        <f>'Budgeting Tool'!I30</f>
        <v/>
      </c>
    </row>
    <row r="11" ht="15" customHeight="1" s="59">
      <c r="A11" s="120" t="inlineStr">
        <is>
          <t>Food</t>
        </is>
      </c>
      <c r="B11" s="101">
        <f>'Budgeting Tool'!I36</f>
        <v/>
      </c>
    </row>
    <row r="12" ht="15" customHeight="1" s="59">
      <c r="A12" s="120" t="inlineStr">
        <is>
          <t>Children</t>
        </is>
      </c>
      <c r="B12" s="101">
        <f>'Budgeting Tool'!I49</f>
        <v/>
      </c>
    </row>
    <row r="13" ht="15" customHeight="1" s="59">
      <c r="A13" s="120" t="inlineStr">
        <is>
          <t>Communication</t>
        </is>
      </c>
      <c r="B13" s="101">
        <f>'Budgeting Tool'!I56</f>
        <v/>
      </c>
    </row>
    <row r="14" ht="15" customHeight="1" s="59">
      <c r="A14" s="120" t="inlineStr">
        <is>
          <t>Transportation</t>
        </is>
      </c>
      <c r="B14" s="101">
        <f>'Budgeting Tool'!I65</f>
        <v/>
      </c>
    </row>
    <row r="15" ht="15" customHeight="1" s="59">
      <c r="A15" s="120" t="inlineStr">
        <is>
          <t>Entertainment</t>
        </is>
      </c>
      <c r="B15" s="101">
        <f>'Budgeting Tool'!I74</f>
        <v/>
      </c>
    </row>
    <row r="16" ht="15" customHeight="1" s="59">
      <c r="A16" s="120" t="inlineStr">
        <is>
          <t>Supports to dependents</t>
        </is>
      </c>
      <c r="B16" s="101">
        <f>'Budgeting Tool'!I78</f>
        <v/>
      </c>
    </row>
    <row r="17" ht="15" customHeight="1" s="59">
      <c r="A17" s="120" t="inlineStr">
        <is>
          <t>Personal Care</t>
        </is>
      </c>
      <c r="B17" s="101">
        <f>'Budgeting Tool'!I86</f>
        <v/>
      </c>
    </row>
    <row r="18" ht="15" customHeight="1" s="59">
      <c r="A18" s="120" t="inlineStr">
        <is>
          <t>Replacement expenses</t>
        </is>
      </c>
      <c r="B18" s="101">
        <f>'Budgeting Tool'!I93</f>
        <v/>
      </c>
    </row>
    <row r="19" ht="15" customHeight="1" s="59">
      <c r="A19" s="120" t="inlineStr">
        <is>
          <t>Taxes - all</t>
        </is>
      </c>
      <c r="B19" s="101">
        <f>'Budgeting Tool'!I102</f>
        <v/>
      </c>
    </row>
    <row r="20" ht="15" customHeight="1" s="59">
      <c r="A20" s="120" t="inlineStr">
        <is>
          <t>Savings or Investments</t>
        </is>
      </c>
      <c r="B20" s="101">
        <f>'Budgeting Tool'!I112</f>
        <v/>
      </c>
    </row>
    <row r="21" ht="15" customHeight="1" s="59">
      <c r="A21" s="120" t="inlineStr">
        <is>
          <t>Loans repayment</t>
        </is>
      </c>
      <c r="B21" s="101">
        <f>'Budgeting Tool'!I123</f>
        <v/>
      </c>
    </row>
    <row r="22" ht="15" customHeight="1" s="59">
      <c r="A22" s="120" t="inlineStr">
        <is>
          <t>Insurance</t>
        </is>
      </c>
      <c r="B22" s="101">
        <f>'Budgeting Tool'!I129</f>
        <v/>
      </c>
    </row>
    <row r="23" ht="15" customHeight="1" s="59">
      <c r="A23" s="120" t="inlineStr">
        <is>
          <t>Personal</t>
        </is>
      </c>
      <c r="B23" s="101">
        <f>'Budgeting Tool'!I135</f>
        <v/>
      </c>
    </row>
    <row r="24" ht="15" customHeight="1" s="59">
      <c r="A24" s="120" t="inlineStr">
        <is>
          <t>Charity</t>
        </is>
      </c>
      <c r="B24" s="101">
        <f>'Budgeting Tool'!I139</f>
        <v/>
      </c>
    </row>
    <row r="25" ht="15" customHeight="1" s="59">
      <c r="A25" s="120" t="inlineStr">
        <is>
          <t>Others</t>
        </is>
      </c>
      <c r="B25" s="101">
        <f>'Budgeting Tool'!I143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&amp;C&amp;9 My Assetz | Personal Financial Planning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2026-08-22T07:08:09Z</dcterms:created>
  <dcterms:modified xmlns:dcterms="http://purl.org/dc/terms/" xmlns:xsi="http://www.w3.org/2001/XMLSchema-instance" xsi:type="dcterms:W3CDTF">2026-08-22T07:23:54Z</dcterms:modified>
  <cp:revision>2</cp:revision>
</cp:coreProperties>
</file>