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Flo" sheetId="1" state="visible" r:id="rId3"/>
  </sheets>
  <definedNames>
    <definedName function="false" hidden="false" localSheetId="0" name="_xlnm.Print_Area" vbProcedure="false">CFlo!$A$1:$M$26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Rate at which you plan to step up your monthly SIP/investment towards this goal each year.</t>
        </r>
      </text>
    </comment>
    <comment ref="J10" authorId="0">
      <text>
        <r>
          <rPr>
            <sz val="10"/>
            <rFont val="Arial"/>
            <family val="2"/>
          </rPr>
          <t xml:space="preserve">Rate at which your salary is expected to increase every year.</t>
        </r>
      </text>
    </comment>
    <comment ref="K10" authorId="0">
      <text>
        <r>
          <rPr>
            <sz val="10"/>
            <rFont val="Arial"/>
            <family val="2"/>
          </rPr>
          <t xml:space="preserve">Year your home loan is scheduled to end. EMI drops to zero after this year.</t>
        </r>
      </text>
    </comment>
    <comment ref="L10" authorId="0">
      <text>
        <r>
          <rPr>
            <sz val="10"/>
            <rFont val="Arial"/>
            <family val="2"/>
          </rPr>
          <t xml:space="preserve">Expected annual inflation rate for household expenses.</t>
        </r>
      </text>
    </comment>
  </commentList>
</comments>
</file>

<file path=xl/sharedStrings.xml><?xml version="1.0" encoding="utf-8"?>
<sst xmlns="http://schemas.openxmlformats.org/spreadsheetml/2006/main" count="31" uniqueCount="26">
  <si>
    <t xml:space="preserve">MY ASSETZ  |  CASH FLOW PLANNER</t>
  </si>
  <si>
    <t xml:space="preserve">Grey cells are for your own entries. Everything else — totals, growth, and investible surplus — calculates automatically.</t>
  </si>
  <si>
    <t xml:space="preserve">Cash Flow</t>
  </si>
  <si>
    <t xml:space="preserve">In this sheet, you can study the growth in income and the amount you need to invest. Results in this sheet are valid only if entries in grey cells are ALL current.
Enter your current monthly investment towards each goal, your current take-home salary, home loan EMI and monthly expenses in the 2026 row — the years below project forward automatically using the growth rates you set in row 10.</t>
  </si>
  <si>
    <t xml:space="preserve">Financial Goals</t>
  </si>
  <si>
    <t xml:space="preserve">Retirement</t>
  </si>
  <si>
    <t xml:space="preserve">Goal 2</t>
  </si>
  <si>
    <t xml:space="preserve">Goal 3</t>
  </si>
  <si>
    <t xml:space="preserve">Goal 4</t>
  </si>
  <si>
    <t xml:space="preserve">Goal 5</t>
  </si>
  <si>
    <t xml:space="preserve">Total Investment
Amount Required</t>
  </si>
  <si>
    <t xml:space="preserve">Monthly Salary Take-home
(after tax &amp; EPF/NPS)</t>
  </si>
  <si>
    <t xml:space="preserve">Home Loan
EMI</t>
  </si>
  <si>
    <t xml:space="preserve">Monthly Expenses
(incl. recurring)</t>
  </si>
  <si>
    <t xml:space="preserve">Investible
Surplus</t>
  </si>
  <si>
    <t xml:space="preserve">Annual increase in monthly investment (%)</t>
  </si>
  <si>
    <t xml:space="preserve">Year</t>
  </si>
  <si>
    <t xml:space="preserve">Life Events</t>
  </si>
  <si>
    <t xml:space="preserve">Investment</t>
  </si>
  <si>
    <t xml:space="preserve">Total</t>
  </si>
  <si>
    <t xml:space="preserve">Salary</t>
  </si>
  <si>
    <t xml:space="preserve">EMI</t>
  </si>
  <si>
    <t xml:space="preserve">Expenses</t>
  </si>
  <si>
    <t xml:space="preserve">Surplus</t>
  </si>
  <si>
    <t xml:space="preserve">Results that can be seen only at the site</t>
  </si>
  <si>
    <t xml:space="preserve">2026 © My Assetz. All Rights Reserved.</t>
  </si>
</sst>
</file>

<file path=xl/styles.xml><?xml version="1.0" encoding="utf-8"?>
<styleSheet xmlns="http://schemas.openxmlformats.org/spreadsheetml/2006/main">
  <numFmts count="4">
    <numFmt numFmtId="164" formatCode="General"/>
    <numFmt numFmtId="165" formatCode="0.0%"/>
    <numFmt numFmtId="166" formatCode="0"/>
    <numFmt numFmtId="167" formatCode="&quot;Rs. &quot;#,##0;&quot;Rs. -&quot;#,##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808080"/>
      <name val="Calibri"/>
      <family val="0"/>
      <charset val="1"/>
    </font>
    <font>
      <b val="true"/>
      <sz val="13"/>
      <color rgb="FFFFFFFF"/>
      <name val="Cambria"/>
      <family val="0"/>
      <charset val="1"/>
    </font>
    <font>
      <b val="true"/>
      <sz val="10"/>
      <name val="Cambria"/>
      <family val="0"/>
      <charset val="1"/>
    </font>
    <font>
      <b val="true"/>
      <i val="true"/>
      <sz val="9"/>
      <name val="Cambria"/>
      <family val="0"/>
      <charset val="1"/>
    </font>
    <font>
      <b val="true"/>
      <sz val="10"/>
      <color rgb="FF0000FF"/>
      <name val="Calibri"/>
      <family val="0"/>
      <charset val="1"/>
    </font>
    <font>
      <b val="true"/>
      <sz val="10"/>
      <color rgb="FF1F4E78"/>
      <name val="Cambria"/>
      <family val="0"/>
      <charset val="1"/>
    </font>
    <font>
      <sz val="10"/>
      <color rgb="FF1F4E78"/>
      <name val="Calibri"/>
      <family val="0"/>
      <charset val="1"/>
    </font>
    <font>
      <b val="true"/>
      <i val="true"/>
      <sz val="10"/>
      <color rgb="FFC00000"/>
      <name val="Calibri"/>
      <family val="0"/>
      <charset val="1"/>
    </font>
    <font>
      <i val="true"/>
      <sz val="9"/>
      <color rgb="FF808080"/>
      <name val="Calibri"/>
      <family val="0"/>
      <charset val="1"/>
    </font>
    <font>
      <sz val="10"/>
      <name val="Arial"/>
      <family val="2"/>
    </font>
  </fonts>
  <fills count="6">
    <fill>
      <patternFill patternType="none"/>
    </fill>
    <fill>
      <patternFill patternType="gray125"/>
    </fill>
    <fill>
      <patternFill patternType="solid">
        <fgColor rgb="FF70AD47"/>
        <bgColor rgb="FF339966"/>
      </patternFill>
    </fill>
    <fill>
      <patternFill patternType="solid">
        <fgColor rgb="FFA9D18E"/>
        <bgColor rgb="FFB7B7B7"/>
      </patternFill>
    </fill>
    <fill>
      <patternFill patternType="solid">
        <fgColor rgb="FFD9D9D9"/>
        <bgColor rgb="FFD9EAD3"/>
      </patternFill>
    </fill>
    <fill>
      <patternFill patternType="solid">
        <fgColor rgb="FFD9EAD3"/>
        <bgColor rgb="FFD9D9D9"/>
      </patternFill>
    </fill>
  </fills>
  <borders count="3">
    <border diagonalUp="false" diagonalDown="false">
      <left/>
      <right/>
      <top/>
      <bottom/>
      <diagonal/>
    </border>
    <border diagonalUp="false" diagonalDown="false">
      <left style="thin">
        <color rgb="FFB7B7B7"/>
      </left>
      <right/>
      <top style="thin">
        <color rgb="FFB7B7B7"/>
      </top>
      <bottom style="thin">
        <color rgb="FFB7B7B7"/>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9" fillId="4"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9" fillId="4"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7" fontId="9" fillId="4" borderId="2" xfId="0" applyFont="true" applyBorder="true" applyAlignment="true" applyProtection="false">
      <alignment horizontal="right" vertical="center" textRotation="0" wrapText="true" indent="0" shrinkToFit="false"/>
      <protection locked="true" hidden="false"/>
    </xf>
    <xf numFmtId="167" fontId="10" fillId="5" borderId="2" xfId="0" applyFont="true" applyBorder="true" applyAlignment="true" applyProtection="false">
      <alignment horizontal="right" vertical="center" textRotation="0" wrapText="true" indent="0" shrinkToFit="false"/>
      <protection locked="true" hidden="false"/>
    </xf>
    <xf numFmtId="166" fontId="7" fillId="0" borderId="2" xfId="0" applyFont="true" applyBorder="true" applyAlignment="true" applyProtection="false">
      <alignment horizontal="center" vertical="center" textRotation="0" wrapText="true" indent="0" shrinkToFit="false"/>
      <protection locked="true" hidden="false"/>
    </xf>
    <xf numFmtId="167" fontId="11" fillId="0" borderId="2"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A9D18E"/>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8" min="3" style="0" width="13"/>
    <col collapsed="false" customWidth="true" hidden="false" outlineLevel="0" max="9" min="9" style="0" width="17"/>
    <col collapsed="false" customWidth="true" hidden="false" outlineLevel="0" max="10" min="10" style="0" width="18"/>
    <col collapsed="false" customWidth="true" hidden="false" outlineLevel="0" max="11" min="11" style="0" width="13"/>
    <col collapsed="false" customWidth="true" hidden="false" outlineLevel="0" max="13" min="12" style="0" width="16"/>
  </cols>
  <sheetData>
    <row r="1" customFormat="false" ht="30" hidden="false" customHeight="true" outlineLevel="0" collapsed="false">
      <c r="A1" s="1" t="s">
        <v>0</v>
      </c>
      <c r="B1" s="1"/>
      <c r="C1" s="1"/>
      <c r="D1" s="1"/>
      <c r="E1" s="1"/>
      <c r="F1" s="1"/>
      <c r="G1" s="1"/>
      <c r="H1" s="1"/>
      <c r="I1" s="1"/>
      <c r="J1" s="1"/>
      <c r="K1" s="1"/>
      <c r="L1" s="1"/>
      <c r="M1" s="1"/>
    </row>
    <row r="2" customFormat="false" ht="15" hidden="false" customHeight="true" outlineLevel="0" collapsed="false">
      <c r="A2" s="2" t="s">
        <v>1</v>
      </c>
      <c r="B2" s="2"/>
      <c r="C2" s="2"/>
      <c r="D2" s="2"/>
      <c r="E2" s="2"/>
      <c r="F2" s="2"/>
      <c r="G2" s="2"/>
      <c r="H2" s="2"/>
      <c r="I2" s="2"/>
      <c r="J2" s="2"/>
      <c r="K2" s="2"/>
      <c r="L2" s="2"/>
      <c r="M2" s="2"/>
    </row>
    <row r="4" customFormat="false" ht="24" hidden="false" customHeight="true" outlineLevel="0" collapsed="false">
      <c r="A4" s="3" t="s">
        <v>2</v>
      </c>
      <c r="B4" s="3"/>
      <c r="C4" s="3"/>
      <c r="D4" s="3"/>
      <c r="E4" s="3"/>
      <c r="F4" s="3"/>
      <c r="G4" s="3"/>
      <c r="H4" s="3"/>
      <c r="I4" s="3"/>
      <c r="J4" s="3"/>
      <c r="K4" s="3"/>
      <c r="L4" s="3"/>
      <c r="M4" s="3"/>
    </row>
    <row r="6" customFormat="false" ht="60" hidden="false" customHeight="true" outlineLevel="0" collapsed="false">
      <c r="A6" s="2" t="s">
        <v>3</v>
      </c>
      <c r="B6" s="2"/>
      <c r="C6" s="2"/>
      <c r="D6" s="2"/>
      <c r="E6" s="2"/>
      <c r="F6" s="2"/>
      <c r="G6" s="2"/>
      <c r="H6" s="2"/>
      <c r="I6" s="2"/>
      <c r="J6" s="2"/>
      <c r="K6" s="2"/>
      <c r="L6" s="2"/>
      <c r="M6" s="2"/>
    </row>
    <row r="7" customFormat="false" ht="15" hidden="false" customHeight="false" outlineLevel="0" collapsed="false">
      <c r="A7" s="2"/>
      <c r="B7" s="2"/>
      <c r="C7" s="2"/>
      <c r="D7" s="2"/>
      <c r="E7" s="2"/>
      <c r="F7" s="2"/>
      <c r="G7" s="2"/>
      <c r="H7" s="2"/>
      <c r="I7" s="2"/>
      <c r="J7" s="2"/>
      <c r="K7" s="2"/>
      <c r="L7" s="2"/>
      <c r="M7" s="2"/>
    </row>
    <row r="8" customFormat="false" ht="15" hidden="false" customHeight="false" outlineLevel="0" collapsed="false">
      <c r="A8" s="2"/>
      <c r="B8" s="2"/>
      <c r="C8" s="2"/>
      <c r="D8" s="2"/>
      <c r="E8" s="2"/>
      <c r="F8" s="2"/>
      <c r="G8" s="2"/>
      <c r="H8" s="2"/>
      <c r="I8" s="2"/>
      <c r="J8" s="2"/>
      <c r="K8" s="2"/>
      <c r="L8" s="2"/>
      <c r="M8" s="2"/>
    </row>
    <row r="9" customFormat="false" ht="31.5" hidden="false" customHeight="true" outlineLevel="0" collapsed="false">
      <c r="A9" s="4" t="s">
        <v>4</v>
      </c>
      <c r="B9" s="4"/>
      <c r="C9" s="4" t="s">
        <v>5</v>
      </c>
      <c r="D9" s="4"/>
      <c r="E9" s="5" t="s">
        <v>6</v>
      </c>
      <c r="F9" s="5" t="s">
        <v>7</v>
      </c>
      <c r="G9" s="5" t="s">
        <v>8</v>
      </c>
      <c r="H9" s="5" t="s">
        <v>9</v>
      </c>
      <c r="I9" s="5" t="s">
        <v>10</v>
      </c>
      <c r="J9" s="5" t="s">
        <v>11</v>
      </c>
      <c r="K9" s="5" t="s">
        <v>12</v>
      </c>
      <c r="L9" s="5" t="s">
        <v>13</v>
      </c>
      <c r="M9" s="5" t="s">
        <v>14</v>
      </c>
    </row>
    <row r="10" customFormat="false" ht="30" hidden="false" customHeight="true" outlineLevel="0" collapsed="false">
      <c r="A10" s="6" t="s">
        <v>15</v>
      </c>
      <c r="B10" s="6"/>
      <c r="C10" s="7" t="n">
        <v>0.1</v>
      </c>
      <c r="D10" s="7" t="n">
        <v>0.1</v>
      </c>
      <c r="E10" s="7" t="n">
        <v>0.1</v>
      </c>
      <c r="F10" s="7" t="n">
        <v>0.1</v>
      </c>
      <c r="G10" s="7" t="n">
        <v>0.1</v>
      </c>
      <c r="H10" s="7" t="n">
        <v>0.1</v>
      </c>
      <c r="I10" s="8"/>
      <c r="J10" s="7" t="n">
        <v>0.08</v>
      </c>
      <c r="K10" s="9" t="n">
        <v>2040</v>
      </c>
      <c r="L10" s="7" t="n">
        <v>0.06</v>
      </c>
      <c r="M10" s="8"/>
    </row>
    <row r="11" customFormat="false" ht="18" hidden="false" customHeight="true" outlineLevel="0" collapsed="false">
      <c r="A11" s="5" t="s">
        <v>16</v>
      </c>
      <c r="B11" s="5" t="s">
        <v>17</v>
      </c>
      <c r="C11" s="5" t="s">
        <v>18</v>
      </c>
      <c r="D11" s="5" t="s">
        <v>18</v>
      </c>
      <c r="E11" s="5" t="s">
        <v>18</v>
      </c>
      <c r="F11" s="5" t="s">
        <v>18</v>
      </c>
      <c r="G11" s="5" t="s">
        <v>18</v>
      </c>
      <c r="H11" s="5" t="s">
        <v>18</v>
      </c>
      <c r="I11" s="5" t="s">
        <v>19</v>
      </c>
      <c r="J11" s="5" t="s">
        <v>20</v>
      </c>
      <c r="K11" s="5" t="s">
        <v>21</v>
      </c>
      <c r="L11" s="5" t="s">
        <v>22</v>
      </c>
      <c r="M11" s="5" t="s">
        <v>23</v>
      </c>
    </row>
    <row r="13" customFormat="false" ht="18" hidden="false" customHeight="true" outlineLevel="0" collapsed="false">
      <c r="A13" s="10" t="n">
        <v>2026</v>
      </c>
      <c r="B13" s="11"/>
      <c r="C13" s="12" t="n">
        <v>5000</v>
      </c>
      <c r="D13" s="12" t="n">
        <v>3000</v>
      </c>
      <c r="E13" s="12" t="n">
        <v>2000</v>
      </c>
      <c r="F13" s="12" t="n">
        <v>1500</v>
      </c>
      <c r="G13" s="12" t="n">
        <v>1000</v>
      </c>
      <c r="H13" s="12" t="n">
        <v>1000</v>
      </c>
      <c r="I13" s="13" t="n">
        <f aca="false">SUM(C13:H13)</f>
        <v>13500</v>
      </c>
      <c r="J13" s="12" t="n">
        <v>80000</v>
      </c>
      <c r="K13" s="12" t="n">
        <v>25000</v>
      </c>
      <c r="L13" s="12" t="n">
        <v>35000</v>
      </c>
      <c r="M13" s="13" t="n">
        <f aca="false">J13-K13-L13</f>
        <v>20000</v>
      </c>
    </row>
    <row r="14" customFormat="false" ht="18" hidden="false" customHeight="true" outlineLevel="0" collapsed="false">
      <c r="A14" s="14" t="n">
        <f aca="false">A13+1</f>
        <v>2027</v>
      </c>
      <c r="B14" s="11"/>
      <c r="C14" s="15" t="n">
        <f aca="false">C13*(1+$C$10)</f>
        <v>5500</v>
      </c>
      <c r="D14" s="15" t="n">
        <f aca="false">D13*(1+$D$10)</f>
        <v>3300</v>
      </c>
      <c r="E14" s="15" t="n">
        <f aca="false">E13*(1+$E$10)</f>
        <v>2200</v>
      </c>
      <c r="F14" s="15" t="n">
        <f aca="false">F13*(1+$F$10)</f>
        <v>1650</v>
      </c>
      <c r="G14" s="15" t="n">
        <f aca="false">G13*(1+$G$10)</f>
        <v>1100</v>
      </c>
      <c r="H14" s="15" t="n">
        <f aca="false">H13*(1+$H$10)</f>
        <v>1100</v>
      </c>
      <c r="I14" s="13" t="n">
        <f aca="false">SUM(C14:H14)</f>
        <v>14850</v>
      </c>
      <c r="J14" s="15" t="n">
        <f aca="false">J13*(1+$J$10)</f>
        <v>86400</v>
      </c>
      <c r="K14" s="15" t="n">
        <f aca="false">IF(A14&lt;=$K$10,K13,0)</f>
        <v>25000</v>
      </c>
      <c r="L14" s="15" t="n">
        <f aca="false">L13*(1+$L$10)</f>
        <v>37100</v>
      </c>
      <c r="M14" s="13" t="n">
        <f aca="false">J14-K14-L14</f>
        <v>24300</v>
      </c>
    </row>
    <row r="15" customFormat="false" ht="18" hidden="false" customHeight="true" outlineLevel="0" collapsed="false">
      <c r="A15" s="14" t="n">
        <f aca="false">A14+1</f>
        <v>2028</v>
      </c>
      <c r="B15" s="11"/>
      <c r="C15" s="15" t="n">
        <f aca="false">C14*(1+$C$10)</f>
        <v>6050</v>
      </c>
      <c r="D15" s="15" t="n">
        <f aca="false">D14*(1+$D$10)</f>
        <v>3630</v>
      </c>
      <c r="E15" s="15" t="n">
        <f aca="false">E14*(1+$E$10)</f>
        <v>2420</v>
      </c>
      <c r="F15" s="15" t="n">
        <f aca="false">F14*(1+$F$10)</f>
        <v>1815</v>
      </c>
      <c r="G15" s="15" t="n">
        <f aca="false">G14*(1+$G$10)</f>
        <v>1210</v>
      </c>
      <c r="H15" s="15" t="n">
        <f aca="false">H14*(1+$H$10)</f>
        <v>1210</v>
      </c>
      <c r="I15" s="13" t="n">
        <f aca="false">SUM(C15:H15)</f>
        <v>16335</v>
      </c>
      <c r="J15" s="15" t="n">
        <f aca="false">J14*(1+$J$10)</f>
        <v>93312</v>
      </c>
      <c r="K15" s="15" t="n">
        <f aca="false">IF(A15&lt;=$K$10,K14,0)</f>
        <v>25000</v>
      </c>
      <c r="L15" s="15" t="n">
        <f aca="false">L14*(1+$L$10)</f>
        <v>39326</v>
      </c>
      <c r="M15" s="13" t="n">
        <f aca="false">J15-K15-L15</f>
        <v>28986</v>
      </c>
    </row>
    <row r="16" customFormat="false" ht="18" hidden="false" customHeight="true" outlineLevel="0" collapsed="false">
      <c r="A16" s="14" t="n">
        <f aca="false">A15+1</f>
        <v>2029</v>
      </c>
      <c r="B16" s="11"/>
      <c r="C16" s="15" t="n">
        <f aca="false">C15*(1+$C$10)</f>
        <v>6655</v>
      </c>
      <c r="D16" s="15" t="n">
        <f aca="false">D15*(1+$D$10)</f>
        <v>3993</v>
      </c>
      <c r="E16" s="15" t="n">
        <f aca="false">E15*(1+$E$10)</f>
        <v>2662</v>
      </c>
      <c r="F16" s="15" t="n">
        <f aca="false">F15*(1+$F$10)</f>
        <v>1996.5</v>
      </c>
      <c r="G16" s="15" t="n">
        <f aca="false">G15*(1+$G$10)</f>
        <v>1331</v>
      </c>
      <c r="H16" s="15" t="n">
        <f aca="false">H15*(1+$H$10)</f>
        <v>1331</v>
      </c>
      <c r="I16" s="13" t="n">
        <f aca="false">SUM(C16:H16)</f>
        <v>17968.5</v>
      </c>
      <c r="J16" s="15" t="n">
        <f aca="false">J15*(1+$J$10)</f>
        <v>100776.96</v>
      </c>
      <c r="K16" s="15" t="n">
        <f aca="false">IF(A16&lt;=$K$10,K15,0)</f>
        <v>25000</v>
      </c>
      <c r="L16" s="15" t="n">
        <f aca="false">L15*(1+$L$10)</f>
        <v>41685.56</v>
      </c>
      <c r="M16" s="13" t="n">
        <f aca="false">J16-K16-L16</f>
        <v>34091.4</v>
      </c>
    </row>
    <row r="17" customFormat="false" ht="18" hidden="false" customHeight="true" outlineLevel="0" collapsed="false">
      <c r="A17" s="14" t="n">
        <f aca="false">A16+1</f>
        <v>2030</v>
      </c>
      <c r="B17" s="11"/>
      <c r="C17" s="15" t="n">
        <f aca="false">C16*(1+$C$10)</f>
        <v>7320.5</v>
      </c>
      <c r="D17" s="15" t="n">
        <f aca="false">D16*(1+$D$10)</f>
        <v>4392.3</v>
      </c>
      <c r="E17" s="15" t="n">
        <f aca="false">E16*(1+$E$10)</f>
        <v>2928.2</v>
      </c>
      <c r="F17" s="15" t="n">
        <f aca="false">F16*(1+$F$10)</f>
        <v>2196.15</v>
      </c>
      <c r="G17" s="15" t="n">
        <f aca="false">G16*(1+$G$10)</f>
        <v>1464.1</v>
      </c>
      <c r="H17" s="15" t="n">
        <f aca="false">H16*(1+$H$10)</f>
        <v>1464.1</v>
      </c>
      <c r="I17" s="13" t="n">
        <f aca="false">SUM(C17:H17)</f>
        <v>19765.35</v>
      </c>
      <c r="J17" s="15" t="n">
        <f aca="false">J16*(1+$J$10)</f>
        <v>108839.1168</v>
      </c>
      <c r="K17" s="15" t="n">
        <f aca="false">IF(A17&lt;=$K$10,K16,0)</f>
        <v>25000</v>
      </c>
      <c r="L17" s="15" t="n">
        <f aca="false">L16*(1+$L$10)</f>
        <v>44186.6936</v>
      </c>
      <c r="M17" s="13" t="n">
        <f aca="false">J17-K17-L17</f>
        <v>39652.4232</v>
      </c>
    </row>
    <row r="18" customFormat="false" ht="18" hidden="false" customHeight="true" outlineLevel="0" collapsed="false">
      <c r="A18" s="14" t="n">
        <f aca="false">A17+1</f>
        <v>2031</v>
      </c>
      <c r="B18" s="11"/>
      <c r="C18" s="15" t="n">
        <f aca="false">C17*(1+$C$10)</f>
        <v>8052.55</v>
      </c>
      <c r="D18" s="15" t="n">
        <f aca="false">D17*(1+$D$10)</f>
        <v>4831.53</v>
      </c>
      <c r="E18" s="15" t="n">
        <f aca="false">E17*(1+$E$10)</f>
        <v>3221.02</v>
      </c>
      <c r="F18" s="15" t="n">
        <f aca="false">F17*(1+$F$10)</f>
        <v>2415.765</v>
      </c>
      <c r="G18" s="15" t="n">
        <f aca="false">G17*(1+$G$10)</f>
        <v>1610.51</v>
      </c>
      <c r="H18" s="15" t="n">
        <f aca="false">H17*(1+$H$10)</f>
        <v>1610.51</v>
      </c>
      <c r="I18" s="13" t="n">
        <f aca="false">SUM(C18:H18)</f>
        <v>21741.885</v>
      </c>
      <c r="J18" s="15" t="n">
        <f aca="false">J17*(1+$J$10)</f>
        <v>117546.246144</v>
      </c>
      <c r="K18" s="15" t="n">
        <f aca="false">IF(A18&lt;=$K$10,K17,0)</f>
        <v>25000</v>
      </c>
      <c r="L18" s="15" t="n">
        <f aca="false">L17*(1+$L$10)</f>
        <v>46837.895216</v>
      </c>
      <c r="M18" s="13" t="n">
        <f aca="false">J18-K18-L18</f>
        <v>45708.350928</v>
      </c>
    </row>
    <row r="19" customFormat="false" ht="18" hidden="false" customHeight="true" outlineLevel="0" collapsed="false">
      <c r="A19" s="14" t="n">
        <f aca="false">A18+1</f>
        <v>2032</v>
      </c>
      <c r="B19" s="11"/>
      <c r="C19" s="15" t="n">
        <f aca="false">C18*(1+$C$10)</f>
        <v>8857.80500000001</v>
      </c>
      <c r="D19" s="15" t="n">
        <f aca="false">D18*(1+$D$10)</f>
        <v>5314.683</v>
      </c>
      <c r="E19" s="15" t="n">
        <f aca="false">E18*(1+$E$10)</f>
        <v>3543.122</v>
      </c>
      <c r="F19" s="15" t="n">
        <f aca="false">F18*(1+$F$10)</f>
        <v>2657.3415</v>
      </c>
      <c r="G19" s="15" t="n">
        <f aca="false">G18*(1+$G$10)</f>
        <v>1771.561</v>
      </c>
      <c r="H19" s="15" t="n">
        <f aca="false">H18*(1+$H$10)</f>
        <v>1771.561</v>
      </c>
      <c r="I19" s="13" t="n">
        <f aca="false">SUM(C19:H19)</f>
        <v>23916.0735</v>
      </c>
      <c r="J19" s="15" t="n">
        <f aca="false">J18*(1+$J$10)</f>
        <v>126949.94583552</v>
      </c>
      <c r="K19" s="15" t="n">
        <f aca="false">IF(A19&lt;=$K$10,K18,0)</f>
        <v>25000</v>
      </c>
      <c r="L19" s="15" t="n">
        <f aca="false">L18*(1+$L$10)</f>
        <v>49648.16892896</v>
      </c>
      <c r="M19" s="13" t="n">
        <f aca="false">J19-K19-L19</f>
        <v>52301.77690656</v>
      </c>
    </row>
    <row r="20" customFormat="false" ht="18" hidden="false" customHeight="true" outlineLevel="0" collapsed="false">
      <c r="A20" s="14" t="n">
        <f aca="false">A19+1</f>
        <v>2033</v>
      </c>
      <c r="B20" s="11"/>
      <c r="C20" s="15" t="n">
        <f aca="false">C19*(1+$C$10)</f>
        <v>9743.58550000001</v>
      </c>
      <c r="D20" s="15" t="n">
        <f aca="false">D19*(1+$D$10)</f>
        <v>5846.1513</v>
      </c>
      <c r="E20" s="15" t="n">
        <f aca="false">E19*(1+$E$10)</f>
        <v>3897.4342</v>
      </c>
      <c r="F20" s="15" t="n">
        <f aca="false">F19*(1+$F$10)</f>
        <v>2923.07565</v>
      </c>
      <c r="G20" s="15" t="n">
        <f aca="false">G19*(1+$G$10)</f>
        <v>1948.7171</v>
      </c>
      <c r="H20" s="15" t="n">
        <f aca="false">H19*(1+$H$10)</f>
        <v>1948.7171</v>
      </c>
      <c r="I20" s="13" t="n">
        <f aca="false">SUM(C20:H20)</f>
        <v>26307.68085</v>
      </c>
      <c r="J20" s="15" t="n">
        <f aca="false">J19*(1+$J$10)</f>
        <v>137105.941502362</v>
      </c>
      <c r="K20" s="15" t="n">
        <f aca="false">IF(A20&lt;=$K$10,K19,0)</f>
        <v>25000</v>
      </c>
      <c r="L20" s="15" t="n">
        <f aca="false">L19*(1+$L$10)</f>
        <v>52627.0590646976</v>
      </c>
      <c r="M20" s="13" t="n">
        <f aca="false">J20-K20-L20</f>
        <v>59478.8824376641</v>
      </c>
    </row>
    <row r="21" customFormat="false" ht="18" hidden="false" customHeight="true" outlineLevel="0" collapsed="false">
      <c r="A21" s="14" t="n">
        <f aca="false">A20+1</f>
        <v>2034</v>
      </c>
      <c r="B21" s="11"/>
      <c r="C21" s="15" t="n">
        <f aca="false">C20*(1+$C$10)</f>
        <v>10717.94405</v>
      </c>
      <c r="D21" s="15" t="n">
        <f aca="false">D20*(1+$D$10)</f>
        <v>6430.76643</v>
      </c>
      <c r="E21" s="15" t="n">
        <f aca="false">E20*(1+$E$10)</f>
        <v>4287.17762</v>
      </c>
      <c r="F21" s="15" t="n">
        <f aca="false">F20*(1+$F$10)</f>
        <v>3215.383215</v>
      </c>
      <c r="G21" s="15" t="n">
        <f aca="false">G20*(1+$G$10)</f>
        <v>2143.58881</v>
      </c>
      <c r="H21" s="15" t="n">
        <f aca="false">H20*(1+$H$10)</f>
        <v>2143.58881</v>
      </c>
      <c r="I21" s="13" t="n">
        <f aca="false">SUM(C21:H21)</f>
        <v>28938.448935</v>
      </c>
      <c r="J21" s="15" t="n">
        <f aca="false">J20*(1+$J$10)</f>
        <v>148074.416822551</v>
      </c>
      <c r="K21" s="15" t="n">
        <f aca="false">IF(A21&lt;=$K$10,K20,0)</f>
        <v>25000</v>
      </c>
      <c r="L21" s="15" t="n">
        <f aca="false">L20*(1+$L$10)</f>
        <v>55784.6826085795</v>
      </c>
      <c r="M21" s="13" t="n">
        <f aca="false">J21-K21-L21</f>
        <v>67289.7342139711</v>
      </c>
    </row>
    <row r="22" customFormat="false" ht="18" hidden="false" customHeight="true" outlineLevel="0" collapsed="false">
      <c r="A22" s="14" t="n">
        <f aca="false">A21+1</f>
        <v>2035</v>
      </c>
      <c r="B22" s="11"/>
      <c r="C22" s="15" t="n">
        <f aca="false">C21*(1+$C$10)</f>
        <v>11789.738455</v>
      </c>
      <c r="D22" s="15" t="n">
        <f aca="false">D21*(1+$D$10)</f>
        <v>7073.84307300001</v>
      </c>
      <c r="E22" s="15" t="n">
        <f aca="false">E21*(1+$E$10)</f>
        <v>4715.895382</v>
      </c>
      <c r="F22" s="15" t="n">
        <f aca="false">F21*(1+$F$10)</f>
        <v>3536.9215365</v>
      </c>
      <c r="G22" s="15" t="n">
        <f aca="false">G21*(1+$G$10)</f>
        <v>2357.947691</v>
      </c>
      <c r="H22" s="15" t="n">
        <f aca="false">H21*(1+$H$10)</f>
        <v>2357.947691</v>
      </c>
      <c r="I22" s="13" t="n">
        <f aca="false">SUM(C22:H22)</f>
        <v>31832.2938285</v>
      </c>
      <c r="J22" s="15" t="n">
        <f aca="false">J21*(1+$J$10)</f>
        <v>159920.370168355</v>
      </c>
      <c r="K22" s="15" t="n">
        <f aca="false">IF(A22&lt;=$K$10,K21,0)</f>
        <v>25000</v>
      </c>
      <c r="L22" s="15" t="n">
        <f aca="false">L21*(1+$L$10)</f>
        <v>59131.7635650943</v>
      </c>
      <c r="M22" s="13" t="n">
        <f aca="false">J22-K22-L22</f>
        <v>75788.6066032604</v>
      </c>
    </row>
    <row r="24" customFormat="false" ht="15" hidden="false" customHeight="true" outlineLevel="0" collapsed="false">
      <c r="A24" s="16" t="s">
        <v>24</v>
      </c>
      <c r="B24" s="16"/>
      <c r="C24" s="16"/>
      <c r="D24" s="16"/>
      <c r="E24" s="16"/>
      <c r="F24" s="16"/>
      <c r="G24" s="16"/>
      <c r="H24" s="16"/>
      <c r="I24" s="16"/>
      <c r="J24" s="16"/>
      <c r="K24" s="16"/>
      <c r="L24" s="16"/>
      <c r="M24" s="16"/>
    </row>
    <row r="26" customFormat="false" ht="15" hidden="false" customHeight="true" outlineLevel="0" collapsed="false">
      <c r="A26" s="17" t="s">
        <v>25</v>
      </c>
      <c r="B26" s="17"/>
      <c r="C26" s="17"/>
      <c r="D26" s="17"/>
      <c r="E26" s="17"/>
      <c r="F26" s="17"/>
      <c r="G26" s="17"/>
      <c r="H26" s="17"/>
      <c r="I26" s="17"/>
      <c r="J26" s="17"/>
      <c r="K26" s="17"/>
      <c r="L26" s="17"/>
      <c r="M26" s="17"/>
    </row>
  </sheetData>
  <mergeCells count="9">
    <mergeCell ref="A1:M1"/>
    <mergeCell ref="A2:M2"/>
    <mergeCell ref="A4:M4"/>
    <mergeCell ref="A6:M8"/>
    <mergeCell ref="A9:B9"/>
    <mergeCell ref="C9:D9"/>
    <mergeCell ref="A10:B10"/>
    <mergeCell ref="A24:M24"/>
    <mergeCell ref="A26:M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2026-08-23T08:16:10Z</dcterms:created>
  <dc:creator>openpyxl</dc:creator>
  <dc:description/>
  <dc:language>en-US</dc:language>
  <cp:lastModifiedBy/>
  <dcterms:modified xsi:type="dcterms:W3CDTF">2026-08-23T08:16:10Z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