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abiliti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<sst xmlns="http://schemas.openxmlformats.org/spreadsheetml/2006/main" count="59" uniqueCount="53">
  <si>
    <t xml:space="preserve">Mr / Mrs / Ms ...........................</t>
  </si>
  <si>
    <t xml:space="preserve">Date</t>
  </si>
  <si>
    <t xml:space="preserve">Liabilities summary</t>
  </si>
  <si>
    <t xml:space="preserve">Loan category</t>
  </si>
  <si>
    <t xml:space="preserve">Principal outstanding
as of today</t>
  </si>
  <si>
    <t xml:space="preserve">Interest rate</t>
  </si>
  <si>
    <t xml:space="preserve">Monthly interest
outgo</t>
  </si>
  <si>
    <t xml:space="preserve">Annual interest
outgo</t>
  </si>
  <si>
    <t xml:space="preserve">Credit card loan</t>
  </si>
  <si>
    <t xml:space="preserve">as per purpose of loan mentioned</t>
  </si>
  <si>
    <t xml:space="preserve">Personal loan</t>
  </si>
  <si>
    <t xml:space="preserve">Hand loan</t>
  </si>
  <si>
    <t xml:space="preserve">Home mortgage loan</t>
  </si>
  <si>
    <t xml:space="preserve">Gold loan</t>
  </si>
  <si>
    <t xml:space="preserve">Mortgage loan</t>
  </si>
  <si>
    <t xml:space="preserve">to house. Apartment only</t>
  </si>
  <si>
    <t xml:space="preserve">Bank cash credit / OD loan</t>
  </si>
  <si>
    <t xml:space="preserve">Education loan</t>
  </si>
  <si>
    <t xml:space="preserve">Home loan</t>
  </si>
  <si>
    <t xml:space="preserve">Housing loan</t>
  </si>
  <si>
    <t xml:space="preserve">to link to buildings and flats only</t>
  </si>
  <si>
    <t xml:space="preserve">PF Loan</t>
  </si>
  <si>
    <t xml:space="preserve">PF loan</t>
  </si>
  <si>
    <t xml:space="preserve">to company offered benefits</t>
  </si>
  <si>
    <t xml:space="preserve">Chit fund</t>
  </si>
  <si>
    <t xml:space="preserve">Business loan</t>
  </si>
  <si>
    <t xml:space="preserve">please remove this from drop down</t>
  </si>
  <si>
    <t xml:space="preserve">Auto loan</t>
  </si>
  <si>
    <t xml:space="preserve">Any other loans</t>
  </si>
  <si>
    <t xml:space="preserve">Total</t>
  </si>
  <si>
    <t xml:space="preserve">Not applicable</t>
  </si>
  <si>
    <t xml:space="preserve">Analysis</t>
  </si>
  <si>
    <t xml:space="preserve">Ratio</t>
  </si>
  <si>
    <t xml:space="preserve">Result (%)</t>
  </si>
  <si>
    <t xml:space="preserve">Notes</t>
  </si>
  <si>
    <t xml:space="preserve">Overall rate of interest (annual interest paid / Total loan value)</t>
  </si>
  <si>
    <t xml:space="preserve">Loan servicing cost (interest outgo / income)</t>
  </si>
  <si>
    <t xml:space="preserve">Income comes from cash flow statement of last year</t>
  </si>
  <si>
    <t xml:space="preserve">Debt versus your assets (debt / total assets)</t>
  </si>
  <si>
    <t xml:space="preserve">Assets come from net worth (assets before liability only, as shown in assets column)</t>
  </si>
  <si>
    <t xml:space="preserve">PF/portfolio return versus interest paid (interest outgo / portfolio return)</t>
  </si>
  <si>
    <t xml:space="preserve">Total return in rupee value from portfolio return (all assets included)</t>
  </si>
  <si>
    <t xml:space="preserve">Your savings / income</t>
  </si>
  <si>
    <t xml:space="preserve">Both come from cash flow statement of last year</t>
  </si>
  <si>
    <t xml:space="preserve">Linked inputs (enter figures from your other planning tabs)</t>
  </si>
  <si>
    <t xml:space="preserve">Annual income</t>
  </si>
  <si>
    <t xml:space="preserve">From the Cash flow (CFlo) tab</t>
  </si>
  <si>
    <t xml:space="preserve">Net cash flow (annual)</t>
  </si>
  <si>
    <t xml:space="preserve">Total assets before liabilities</t>
  </si>
  <si>
    <t xml:space="preserve">From the Net worth / Assets column</t>
  </si>
  <si>
    <t xml:space="preserve">Total portfolio return (₹ per year)</t>
  </si>
  <si>
    <t xml:space="preserve">From the portfolio tracker, across all assets</t>
  </si>
  <si>
    <t xml:space="preserve">HOW TO USE: Fill in only the BLUE cells (loan principal &amp; rate above, name/date, and the linked inputs below). All BLACK cells — interest outgo, totals, and every ratio — recalculate automatically.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</si>
</sst>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\₹#,##0;&quot;(₹&quot;#,##0\);\-"/>
    <numFmt numFmtId="167" formatCode="0.00%;\-0.00%;;@"/>
    <numFmt numFmtId="168" formatCode="0.00;\-0.00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i val="true"/>
      <sz val="9"/>
      <color rgb="FF333333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EDE4F7"/>
      </patternFill>
    </fill>
    <fill>
      <patternFill patternType="solid">
        <fgColor rgb="FFF2F2F2"/>
        <bgColor rgb="FFEDE4F7"/>
      </patternFill>
    </fill>
    <fill>
      <patternFill patternType="solid">
        <fgColor rgb="FFEDE4F7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DE4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2"/>
    <col collapsed="false" customWidth="true" hidden="false" outlineLevel="0" max="8" min="8" style="0" width="16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1" t="str">
        <f aca="false">"Liabilities summary for "&amp;H1</f>
        <v>Liabilities summary for Mr / Mrs / Ms ...........................</v>
      </c>
      <c r="B1" s="1"/>
      <c r="C1" s="1"/>
      <c r="D1" s="1"/>
      <c r="E1" s="1"/>
      <c r="H1" s="2" t="s">
        <v>0</v>
      </c>
    </row>
    <row r="2" customFormat="false" ht="15" hidden="false" customHeight="false" outlineLevel="0" collapsed="false">
      <c r="A2" s="3" t="s">
        <v>1</v>
      </c>
      <c r="B2" s="4"/>
    </row>
    <row r="4" customFormat="false" ht="19.5" hidden="false" customHeight="true" outlineLevel="0" collapsed="false">
      <c r="A4" s="5" t="s">
        <v>2</v>
      </c>
      <c r="B4" s="5"/>
      <c r="C4" s="5"/>
      <c r="D4" s="5"/>
      <c r="E4" s="5"/>
    </row>
    <row r="5" customFormat="false" ht="42" hidden="false" customHeight="true" outlineLevel="0" collapsed="false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</row>
    <row r="6" customFormat="false" ht="15" hidden="false" customHeight="false" outlineLevel="0" collapsed="false">
      <c r="A6" s="7" t="s">
        <v>8</v>
      </c>
      <c r="B6" s="8" t="n">
        <v>0</v>
      </c>
      <c r="C6" s="9" t="n">
        <v>0</v>
      </c>
      <c r="D6" s="10" t="n">
        <f aca="false">ROUND(B6*C6/12,0)</f>
        <v>0</v>
      </c>
      <c r="E6" s="10" t="n">
        <f aca="false">ROUND(B6*C6,0)</f>
        <v>0</v>
      </c>
      <c r="H6" s="11" t="s">
        <v>8</v>
      </c>
      <c r="I6" s="12" t="s">
        <v>9</v>
      </c>
    </row>
    <row r="7" customFormat="false" ht="15" hidden="false" customHeight="false" outlineLevel="0" collapsed="false">
      <c r="A7" s="7" t="s">
        <v>10</v>
      </c>
      <c r="B7" s="8" t="n">
        <v>543255</v>
      </c>
      <c r="C7" s="9" t="n">
        <v>0.12</v>
      </c>
      <c r="D7" s="10" t="n">
        <f aca="false">ROUND(B7*C7/12,0)</f>
        <v>5433</v>
      </c>
      <c r="E7" s="10" t="n">
        <f aca="false">ROUND(B7*C7,0)</f>
        <v>65191</v>
      </c>
      <c r="H7" s="11" t="s">
        <v>11</v>
      </c>
      <c r="I7" s="12" t="s">
        <v>9</v>
      </c>
    </row>
    <row r="8" customFormat="false" ht="15" hidden="false" customHeight="false" outlineLevel="0" collapsed="false">
      <c r="A8" s="7" t="s">
        <v>12</v>
      </c>
      <c r="B8" s="8" t="n">
        <v>1952355</v>
      </c>
      <c r="C8" s="9" t="n">
        <v>0.14</v>
      </c>
      <c r="D8" s="10" t="n">
        <f aca="false">ROUND(B8*C8/12,0)</f>
        <v>22777</v>
      </c>
      <c r="E8" s="10" t="n">
        <f aca="false">ROUND(B8*C8,0)</f>
        <v>273330</v>
      </c>
      <c r="H8" s="11" t="s">
        <v>10</v>
      </c>
      <c r="I8" s="12" t="s">
        <v>9</v>
      </c>
    </row>
    <row r="9" customFormat="false" ht="15" hidden="false" customHeight="false" outlineLevel="0" collapsed="false">
      <c r="A9" s="7" t="s">
        <v>13</v>
      </c>
      <c r="B9" s="8" t="n">
        <v>0</v>
      </c>
      <c r="C9" s="9" t="n">
        <v>0</v>
      </c>
      <c r="D9" s="10" t="n">
        <f aca="false">ROUND(B9*C9/12,0)</f>
        <v>0</v>
      </c>
      <c r="E9" s="10" t="n">
        <f aca="false">ROUND(B9*C9,0)</f>
        <v>0</v>
      </c>
      <c r="H9" s="11" t="s">
        <v>14</v>
      </c>
      <c r="I9" s="12" t="s">
        <v>15</v>
      </c>
    </row>
    <row r="10" customFormat="false" ht="15" hidden="false" customHeight="false" outlineLevel="0" collapsed="false">
      <c r="A10" s="7" t="s">
        <v>16</v>
      </c>
      <c r="B10" s="8" t="n">
        <v>0</v>
      </c>
      <c r="C10" s="9" t="n">
        <v>0</v>
      </c>
      <c r="D10" s="10" t="n">
        <f aca="false">ROUND(B10*C10/12,0)</f>
        <v>0</v>
      </c>
      <c r="E10" s="10" t="n">
        <f aca="false">ROUND(B10*C10,0)</f>
        <v>0</v>
      </c>
      <c r="H10" s="11" t="s">
        <v>17</v>
      </c>
      <c r="I10" s="12"/>
    </row>
    <row r="11" customFormat="false" ht="15" hidden="false" customHeight="false" outlineLevel="0" collapsed="false">
      <c r="A11" s="7" t="s">
        <v>18</v>
      </c>
      <c r="B11" s="8" t="n">
        <v>0</v>
      </c>
      <c r="C11" s="9" t="n">
        <v>0</v>
      </c>
      <c r="D11" s="10" t="n">
        <f aca="false">ROUND(B11*C11/12,0)</f>
        <v>0</v>
      </c>
      <c r="E11" s="10" t="n">
        <f aca="false">ROUND(B11*C11,0)</f>
        <v>0</v>
      </c>
      <c r="H11" s="11" t="s">
        <v>19</v>
      </c>
      <c r="I11" s="12" t="s">
        <v>20</v>
      </c>
    </row>
    <row r="12" customFormat="false" ht="15" hidden="false" customHeight="false" outlineLevel="0" collapsed="false">
      <c r="A12" s="7" t="s">
        <v>21</v>
      </c>
      <c r="B12" s="8" t="n">
        <v>0</v>
      </c>
      <c r="C12" s="9" t="n">
        <v>0</v>
      </c>
      <c r="D12" s="10" t="n">
        <f aca="false">ROUND(B12*C12/12,0)</f>
        <v>0</v>
      </c>
      <c r="E12" s="10" t="n">
        <f aca="false">ROUND(B12*C12,0)</f>
        <v>0</v>
      </c>
      <c r="H12" s="11" t="s">
        <v>22</v>
      </c>
      <c r="I12" s="12" t="s">
        <v>23</v>
      </c>
    </row>
    <row r="13" customFormat="false" ht="15" hidden="false" customHeight="false" outlineLevel="0" collapsed="false">
      <c r="A13" s="7" t="s">
        <v>24</v>
      </c>
      <c r="B13" s="8" t="n">
        <v>0</v>
      </c>
      <c r="C13" s="9" t="n">
        <v>0</v>
      </c>
      <c r="D13" s="10" t="n">
        <f aca="false">ROUND(B13*C13/12,0)</f>
        <v>0</v>
      </c>
      <c r="E13" s="10" t="n">
        <f aca="false">ROUND(B13*C13,0)</f>
        <v>0</v>
      </c>
      <c r="H13" s="13" t="s">
        <v>25</v>
      </c>
      <c r="I13" s="14" t="s">
        <v>26</v>
      </c>
    </row>
    <row r="14" customFormat="false" ht="15" hidden="false" customHeight="false" outlineLevel="0" collapsed="false">
      <c r="A14" s="7" t="s">
        <v>27</v>
      </c>
      <c r="B14" s="8" t="n">
        <v>380000</v>
      </c>
      <c r="C14" s="9" t="n">
        <v>0.0975</v>
      </c>
      <c r="D14" s="10" t="n">
        <f aca="false">ROUND(B14*C14/12,0)</f>
        <v>3088</v>
      </c>
      <c r="E14" s="10" t="n">
        <f aca="false">ROUND(B14*C14,0)</f>
        <v>37050</v>
      </c>
    </row>
    <row r="15" customFormat="false" ht="15" hidden="false" customHeight="false" outlineLevel="0" collapsed="false">
      <c r="A15" s="7" t="s">
        <v>11</v>
      </c>
      <c r="B15" s="8" t="n">
        <v>0</v>
      </c>
      <c r="C15" s="9" t="n">
        <v>0</v>
      </c>
      <c r="D15" s="10" t="n">
        <f aca="false">ROUND(B15*C15/12,0)</f>
        <v>0</v>
      </c>
      <c r="E15" s="10" t="n">
        <f aca="false">ROUND(B15*C15,0)</f>
        <v>0</v>
      </c>
    </row>
    <row r="16" customFormat="false" ht="15" hidden="false" customHeight="false" outlineLevel="0" collapsed="false">
      <c r="A16" s="7" t="s">
        <v>28</v>
      </c>
      <c r="B16" s="8" t="n">
        <v>0</v>
      </c>
      <c r="C16" s="9" t="n">
        <v>0</v>
      </c>
      <c r="D16" s="10" t="n">
        <f aca="false">ROUND(B16*C16/12,0)</f>
        <v>0</v>
      </c>
      <c r="E16" s="10" t="n">
        <f aca="false">ROUND(B16*C16,0)</f>
        <v>0</v>
      </c>
    </row>
    <row r="17" customFormat="false" ht="15" hidden="false" customHeight="false" outlineLevel="0" collapsed="false">
      <c r="A17" s="15" t="s">
        <v>29</v>
      </c>
      <c r="B17" s="16" t="n">
        <f aca="false">SUM(B6:B16)</f>
        <v>2875610</v>
      </c>
      <c r="C17" s="17" t="s">
        <v>30</v>
      </c>
      <c r="D17" s="16" t="n">
        <f aca="false">SUM(D6:D16)</f>
        <v>31298</v>
      </c>
      <c r="E17" s="16" t="n">
        <f aca="false">ROUND(SUMPRODUCT(B6:B16,C6:C16),0)</f>
        <v>375570</v>
      </c>
    </row>
    <row r="19" customFormat="false" ht="19.5" hidden="false" customHeight="true" outlineLevel="0" collapsed="false">
      <c r="A19" s="5" t="s">
        <v>31</v>
      </c>
      <c r="B19" s="5"/>
      <c r="C19" s="5"/>
      <c r="D19" s="5"/>
      <c r="E19" s="5"/>
    </row>
    <row r="20" customFormat="false" ht="15" hidden="false" customHeight="false" outlineLevel="0" collapsed="false">
      <c r="A20" s="18" t="s">
        <v>32</v>
      </c>
      <c r="B20" s="19" t="s">
        <v>33</v>
      </c>
      <c r="C20" s="20" t="s">
        <v>34</v>
      </c>
      <c r="D20" s="20"/>
      <c r="E20" s="20"/>
    </row>
    <row r="21" customFormat="false" ht="27.75" hidden="false" customHeight="true" outlineLevel="0" collapsed="false">
      <c r="A21" s="21" t="s">
        <v>35</v>
      </c>
      <c r="B21" s="22" t="n">
        <f aca="false">ROUND(E17/B17*100,2)</f>
        <v>13.06</v>
      </c>
      <c r="C21" s="23"/>
      <c r="D21" s="23"/>
      <c r="E21" s="23"/>
    </row>
    <row r="22" customFormat="false" ht="27.75" hidden="false" customHeight="true" outlineLevel="0" collapsed="false">
      <c r="A22" s="21" t="s">
        <v>36</v>
      </c>
      <c r="B22" s="22" t="n">
        <f aca="false">IF(B28=0,"",ROUND(E17/B28*100,2))</f>
        <v>31.3</v>
      </c>
      <c r="C22" s="23" t="s">
        <v>37</v>
      </c>
      <c r="D22" s="23"/>
      <c r="E22" s="23"/>
    </row>
    <row r="23" customFormat="false" ht="27.75" hidden="false" customHeight="true" outlineLevel="0" collapsed="false">
      <c r="A23" s="21" t="s">
        <v>38</v>
      </c>
      <c r="B23" s="22" t="n">
        <f aca="false">IF(B30=0,"",ROUND(B17/B30*100,2))</f>
        <v>31.95</v>
      </c>
      <c r="C23" s="23" t="s">
        <v>39</v>
      </c>
      <c r="D23" s="23"/>
      <c r="E23" s="23"/>
    </row>
    <row r="24" customFormat="false" ht="27.75" hidden="false" customHeight="true" outlineLevel="0" collapsed="false">
      <c r="A24" s="21" t="s">
        <v>40</v>
      </c>
      <c r="B24" s="22" t="n">
        <f aca="false">IF(B31=0,"",ROUND(E17/B31*100,2))</f>
        <v>150.23</v>
      </c>
      <c r="C24" s="23" t="s">
        <v>41</v>
      </c>
      <c r="D24" s="23"/>
      <c r="E24" s="23"/>
    </row>
    <row r="25" customFormat="false" ht="27.75" hidden="false" customHeight="true" outlineLevel="0" collapsed="false">
      <c r="A25" s="21" t="s">
        <v>42</v>
      </c>
      <c r="B25" s="22" t="n">
        <f aca="false">IF(B28=0,"",ROUND(B29/B28*100,2))</f>
        <v>25</v>
      </c>
      <c r="C25" s="23" t="s">
        <v>43</v>
      </c>
      <c r="D25" s="23"/>
      <c r="E25" s="23"/>
    </row>
    <row r="27" customFormat="false" ht="19.5" hidden="false" customHeight="true" outlineLevel="0" collapsed="false">
      <c r="A27" s="5" t="s">
        <v>44</v>
      </c>
      <c r="B27" s="5"/>
      <c r="C27" s="5"/>
      <c r="D27" s="5"/>
      <c r="E27" s="5"/>
    </row>
    <row r="28" customFormat="false" ht="15" hidden="false" customHeight="true" outlineLevel="0" collapsed="false">
      <c r="A28" s="7" t="s">
        <v>45</v>
      </c>
      <c r="B28" s="8" t="n">
        <v>1200000</v>
      </c>
      <c r="C28" s="23" t="s">
        <v>46</v>
      </c>
      <c r="D28" s="23"/>
      <c r="E28" s="23"/>
    </row>
    <row r="29" customFormat="false" ht="15" hidden="false" customHeight="true" outlineLevel="0" collapsed="false">
      <c r="A29" s="7" t="s">
        <v>47</v>
      </c>
      <c r="B29" s="8" t="n">
        <v>300000</v>
      </c>
      <c r="C29" s="23" t="s">
        <v>46</v>
      </c>
      <c r="D29" s="23"/>
      <c r="E29" s="23"/>
    </row>
    <row r="30" customFormat="false" ht="15" hidden="false" customHeight="true" outlineLevel="0" collapsed="false">
      <c r="A30" s="7" t="s">
        <v>48</v>
      </c>
      <c r="B30" s="8" t="n">
        <v>9000000</v>
      </c>
      <c r="C30" s="23" t="s">
        <v>49</v>
      </c>
      <c r="D30" s="23"/>
      <c r="E30" s="23"/>
    </row>
    <row r="31" customFormat="false" ht="15" hidden="false" customHeight="true" outlineLevel="0" collapsed="false">
      <c r="A31" s="7" t="s">
        <v>50</v>
      </c>
      <c r="B31" s="8" t="n">
        <v>250000</v>
      </c>
      <c r="C31" s="23" t="s">
        <v>51</v>
      </c>
      <c r="D31" s="23"/>
      <c r="E31" s="23"/>
    </row>
    <row r="34" customFormat="false" ht="30" hidden="false" customHeight="true" outlineLevel="0" collapsed="false">
      <c r="A34" s="24" t="s">
        <v>52</v>
      </c>
      <c r="B34" s="24"/>
      <c r="C34" s="24"/>
      <c r="D34" s="24"/>
      <c r="E34" s="24"/>
    </row>
  </sheetData>
  <mergeCells count="15">
    <mergeCell ref="A1:E1"/>
    <mergeCell ref="A4:E4"/>
    <mergeCell ref="A19:E19"/>
    <mergeCell ref="C20:E20"/>
    <mergeCell ref="C21:E21"/>
    <mergeCell ref="C22:E22"/>
    <mergeCell ref="C23:E23"/>
    <mergeCell ref="C24:E24"/>
    <mergeCell ref="C25:E25"/>
    <mergeCell ref="A27:E27"/>
    <mergeCell ref="C28:E28"/>
    <mergeCell ref="C29:E29"/>
    <mergeCell ref="C30:E30"/>
    <mergeCell ref="C31:E31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2026-08-22T09:42:05Z</dcterms:created>
  <dc:creator>openpyxl</dc:creator>
  <dc:description/>
  <dc:language>en-US</dc:language>
  <cp:lastModifiedBy/>
  <dcterms:modified xsi:type="dcterms:W3CDTF">2026-08-22T09:42:05Z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