
<file path=[Content_Types].xml><?xml version="1.0" encoding="utf-8"?>
<Types xmlns="http://schemas.openxmlformats.org/package/2006/content-types">
  <Default Extension="bin" ContentType="application/vnd.ms-office.activeX"/>
  <Default Extension="emf" ContentType="image/x-emf"/>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activeX/activeX25.xml" ContentType="application/vnd.ms-office.activeX+xml"/>
  <Override PartName="/xl/drawings/drawing3.xml" ContentType="application/vnd.openxmlformats-officedocument.drawing+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9de269f8357a70f/Desktop/Work related to WEB/"/>
    </mc:Choice>
  </mc:AlternateContent>
  <xr:revisionPtr revIDLastSave="0" documentId="8_{5644DEB0-6D4B-44D0-8B17-99D22D738E72}" xr6:coauthVersionLast="47" xr6:coauthVersionMax="47" xr10:uidLastSave="{00000000-0000-0000-0000-000000000000}"/>
  <bookViews>
    <workbookView xWindow="-108" yWindow="-108" windowWidth="23256" windowHeight="12456" firstSheet="7" activeTab="11" xr2:uid="{00000000-000D-0000-FFFF-FFFF00000000}"/>
  </bookViews>
  <sheets>
    <sheet name="cost of delay" sheetId="12" r:id="rId1"/>
    <sheet name="FP goal planning -variable AA" sheetId="2" r:id="rId2"/>
    <sheet name="Retirement planning" sheetId="3" r:id="rId3"/>
    <sheet name="Other gols planning" sheetId="4" r:id="rId4"/>
    <sheet name="CFlo" sheetId="5" r:id="rId5"/>
    <sheet name="Fin Health check" sheetId="6" r:id="rId6"/>
    <sheet name="Budgeting tool" sheetId="7" r:id="rId7"/>
    <sheet name="Liabilities" sheetId="8" r:id="rId8"/>
    <sheet name="Networth" sheetId="9" r:id="rId9"/>
    <sheet name="PFperformance" sheetId="10" r:id="rId10"/>
    <sheet name="Insurance" sheetId="11" r:id="rId11"/>
    <sheet name="Insurance for a family" sheetId="13" r:id="rId12"/>
  </sheets>
  <calcPr calcId="191029"/>
</workbook>
</file>

<file path=xl/calcChain.xml><?xml version="1.0" encoding="utf-8"?>
<calcChain xmlns="http://schemas.openxmlformats.org/spreadsheetml/2006/main">
  <c r="F112" i="10" l="1"/>
  <c r="F111" i="10"/>
  <c r="F110" i="10"/>
  <c r="F113" i="10" s="1"/>
  <c r="H53" i="10"/>
  <c r="G53" i="10"/>
  <c r="H52" i="10"/>
  <c r="G52" i="10"/>
  <c r="H51" i="10"/>
  <c r="H54" i="10" s="1"/>
  <c r="G51" i="10"/>
  <c r="G48" i="10"/>
  <c r="H48" i="10" s="1"/>
  <c r="G47" i="10"/>
  <c r="H47" i="10" s="1"/>
  <c r="G46" i="10"/>
  <c r="H46" i="10" s="1"/>
  <c r="G45" i="10"/>
  <c r="H45" i="10" s="1"/>
  <c r="G44" i="10"/>
  <c r="H44" i="10" s="1"/>
  <c r="M43" i="10"/>
  <c r="P41" i="10" s="1"/>
  <c r="G43" i="10"/>
  <c r="H43" i="10" s="1"/>
  <c r="H49" i="10" s="1"/>
  <c r="H55" i="10" s="1"/>
  <c r="H56" i="10" s="1"/>
  <c r="H39" i="10"/>
  <c r="H38" i="10"/>
  <c r="G38" i="10"/>
  <c r="P37" i="10"/>
  <c r="G34" i="10"/>
  <c r="H34" i="10" s="1"/>
  <c r="H35" i="10" s="1"/>
  <c r="H31" i="10"/>
  <c r="H32" i="10" s="1"/>
  <c r="G31" i="10"/>
  <c r="G28" i="10"/>
  <c r="H28" i="10" s="1"/>
  <c r="G27" i="10"/>
  <c r="H27" i="10" s="1"/>
  <c r="G26" i="10"/>
  <c r="H26" i="10" s="1"/>
  <c r="H19" i="10"/>
  <c r="H20" i="10" s="1"/>
  <c r="G19" i="10"/>
  <c r="F17" i="10"/>
  <c r="G15" i="10"/>
  <c r="H15" i="10" s="1"/>
  <c r="H16" i="10" s="1"/>
  <c r="H12" i="10"/>
  <c r="H13" i="10" s="1"/>
  <c r="G12" i="10"/>
  <c r="G8" i="10"/>
  <c r="H8" i="10" s="1"/>
  <c r="H9" i="10" s="1"/>
  <c r="L7" i="10"/>
  <c r="O4" i="10" s="1"/>
  <c r="H4" i="10"/>
  <c r="G4" i="10"/>
  <c r="O3" i="10"/>
  <c r="G3" i="10"/>
  <c r="H3" i="10" s="1"/>
  <c r="H5" i="10" s="1"/>
  <c r="B17" i="8"/>
  <c r="E14" i="8"/>
  <c r="D14" i="8"/>
  <c r="E8" i="8"/>
  <c r="D8" i="8"/>
  <c r="E7" i="8"/>
  <c r="E17" i="8" s="1"/>
  <c r="B21" i="8" s="1"/>
  <c r="D7" i="8"/>
  <c r="D17" i="8" s="1"/>
  <c r="I165" i="7"/>
  <c r="J165" i="7" s="1"/>
  <c r="I164" i="7"/>
  <c r="J161" i="7"/>
  <c r="I161" i="7"/>
  <c r="I160" i="7"/>
  <c r="J160" i="7" s="1"/>
  <c r="J159" i="7"/>
  <c r="I159" i="7"/>
  <c r="I158" i="7"/>
  <c r="J158" i="7" s="1"/>
  <c r="J157" i="7"/>
  <c r="I157" i="7"/>
  <c r="I156" i="7"/>
  <c r="J156" i="7" s="1"/>
  <c r="J155" i="7"/>
  <c r="I155" i="7"/>
  <c r="I154" i="7"/>
  <c r="J154" i="7" s="1"/>
  <c r="J153" i="7"/>
  <c r="I153" i="7"/>
  <c r="I152" i="7"/>
  <c r="J152" i="7" s="1"/>
  <c r="J151" i="7"/>
  <c r="I151" i="7"/>
  <c r="I150" i="7"/>
  <c r="J150" i="7" s="1"/>
  <c r="J149" i="7"/>
  <c r="I149" i="7"/>
  <c r="I148" i="7"/>
  <c r="J148" i="7" s="1"/>
  <c r="J147" i="7"/>
  <c r="I147" i="7"/>
  <c r="I146" i="7"/>
  <c r="J146" i="7" s="1"/>
  <c r="J145" i="7"/>
  <c r="I145" i="7"/>
  <c r="I144" i="7"/>
  <c r="J144" i="7" s="1"/>
  <c r="J143" i="7"/>
  <c r="I143" i="7"/>
  <c r="I142" i="7"/>
  <c r="J142" i="7" s="1"/>
  <c r="J141" i="7"/>
  <c r="I141" i="7"/>
  <c r="I140" i="7"/>
  <c r="J140" i="7" s="1"/>
  <c r="J139" i="7"/>
  <c r="I139" i="7"/>
  <c r="I138" i="7"/>
  <c r="J138" i="7" s="1"/>
  <c r="J137" i="7"/>
  <c r="I137" i="7"/>
  <c r="I136" i="7"/>
  <c r="J136" i="7" s="1"/>
  <c r="J135" i="7"/>
  <c r="I135" i="7"/>
  <c r="I134" i="7"/>
  <c r="J134" i="7" s="1"/>
  <c r="J133" i="7"/>
  <c r="I133" i="7"/>
  <c r="I132" i="7"/>
  <c r="J132" i="7" s="1"/>
  <c r="J131" i="7"/>
  <c r="I131" i="7"/>
  <c r="I130" i="7"/>
  <c r="J130" i="7" s="1"/>
  <c r="J129" i="7"/>
  <c r="I129" i="7"/>
  <c r="I128" i="7"/>
  <c r="J128" i="7" s="1"/>
  <c r="J127" i="7"/>
  <c r="I127" i="7"/>
  <c r="I126" i="7"/>
  <c r="J126" i="7" s="1"/>
  <c r="I125" i="7"/>
  <c r="J125" i="7" s="1"/>
  <c r="I124" i="7"/>
  <c r="J124" i="7" s="1"/>
  <c r="I123" i="7"/>
  <c r="J123" i="7" s="1"/>
  <c r="I122" i="7"/>
  <c r="J122" i="7" s="1"/>
  <c r="I121" i="7"/>
  <c r="J121" i="7" s="1"/>
  <c r="I120" i="7"/>
  <c r="J120" i="7" s="1"/>
  <c r="I119" i="7"/>
  <c r="J119" i="7" s="1"/>
  <c r="I118" i="7"/>
  <c r="J118" i="7" s="1"/>
  <c r="I117" i="7"/>
  <c r="J117" i="7" s="1"/>
  <c r="I116" i="7"/>
  <c r="J116" i="7" s="1"/>
  <c r="I115" i="7"/>
  <c r="J115" i="7" s="1"/>
  <c r="I114" i="7"/>
  <c r="J114" i="7" s="1"/>
  <c r="I113" i="7"/>
  <c r="J113" i="7" s="1"/>
  <c r="I112" i="7"/>
  <c r="J112" i="7" s="1"/>
  <c r="I111" i="7"/>
  <c r="J111" i="7" s="1"/>
  <c r="I110" i="7"/>
  <c r="J110" i="7" s="1"/>
  <c r="I109" i="7"/>
  <c r="J109" i="7" s="1"/>
  <c r="I108" i="7"/>
  <c r="J108" i="7" s="1"/>
  <c r="I107" i="7"/>
  <c r="J107" i="7" s="1"/>
  <c r="I106" i="7"/>
  <c r="J106" i="7" s="1"/>
  <c r="I105" i="7"/>
  <c r="J105" i="7" s="1"/>
  <c r="I104" i="7"/>
  <c r="J104" i="7" s="1"/>
  <c r="I103" i="7"/>
  <c r="J103" i="7" s="1"/>
  <c r="I102" i="7"/>
  <c r="J102" i="7" s="1"/>
  <c r="I101" i="7"/>
  <c r="J101" i="7" s="1"/>
  <c r="I100" i="7"/>
  <c r="J100" i="7" s="1"/>
  <c r="I99" i="7"/>
  <c r="J99" i="7" s="1"/>
  <c r="I98" i="7"/>
  <c r="J98" i="7" s="1"/>
  <c r="I97" i="7"/>
  <c r="J97" i="7" s="1"/>
  <c r="I96" i="7"/>
  <c r="J96" i="7" s="1"/>
  <c r="I95" i="7"/>
  <c r="J95" i="7" s="1"/>
  <c r="I94" i="7"/>
  <c r="J94" i="7" s="1"/>
  <c r="I93" i="7"/>
  <c r="J93" i="7" s="1"/>
  <c r="I92" i="7"/>
  <c r="J92" i="7" s="1"/>
  <c r="I91" i="7"/>
  <c r="J91" i="7" s="1"/>
  <c r="I90" i="7"/>
  <c r="J90" i="7" s="1"/>
  <c r="I89" i="7"/>
  <c r="J89" i="7" s="1"/>
  <c r="I88" i="7"/>
  <c r="J88" i="7" s="1"/>
  <c r="I87" i="7"/>
  <c r="J87" i="7" s="1"/>
  <c r="I86" i="7"/>
  <c r="J86" i="7" s="1"/>
  <c r="I83" i="7"/>
  <c r="J83" i="7" s="1"/>
  <c r="I82" i="7"/>
  <c r="J82" i="7" s="1"/>
  <c r="I81" i="7"/>
  <c r="J81" i="7" s="1"/>
  <c r="I80" i="7"/>
  <c r="J80" i="7" s="1"/>
  <c r="I79" i="7"/>
  <c r="J79" i="7" s="1"/>
  <c r="I78" i="7"/>
  <c r="J78" i="7" s="1"/>
  <c r="I77" i="7"/>
  <c r="J77" i="7" s="1"/>
  <c r="I76" i="7"/>
  <c r="J76" i="7" s="1"/>
  <c r="I75" i="7"/>
  <c r="J75" i="7" s="1"/>
  <c r="I74" i="7"/>
  <c r="J74" i="7" s="1"/>
  <c r="I73" i="7"/>
  <c r="J73" i="7" s="1"/>
  <c r="I72" i="7"/>
  <c r="J72" i="7" s="1"/>
  <c r="I71" i="7"/>
  <c r="J71" i="7" s="1"/>
  <c r="I70" i="7"/>
  <c r="J70" i="7" s="1"/>
  <c r="I69" i="7"/>
  <c r="J69" i="7" s="1"/>
  <c r="I68" i="7"/>
  <c r="J68" i="7" s="1"/>
  <c r="I67" i="7"/>
  <c r="J67" i="7" s="1"/>
  <c r="I66" i="7"/>
  <c r="J66" i="7" s="1"/>
  <c r="I65" i="7"/>
  <c r="J65" i="7" s="1"/>
  <c r="I64" i="7"/>
  <c r="J64" i="7" s="1"/>
  <c r="I63" i="7"/>
  <c r="J63" i="7" s="1"/>
  <c r="I62" i="7"/>
  <c r="J62" i="7" s="1"/>
  <c r="I61" i="7"/>
  <c r="J61" i="7" s="1"/>
  <c r="I60" i="7"/>
  <c r="J60" i="7" s="1"/>
  <c r="I59" i="7"/>
  <c r="J59" i="7" s="1"/>
  <c r="I58" i="7"/>
  <c r="J58" i="7" s="1"/>
  <c r="I57" i="7"/>
  <c r="J57" i="7" s="1"/>
  <c r="I56" i="7"/>
  <c r="J56" i="7" s="1"/>
  <c r="I55" i="7"/>
  <c r="J55" i="7" s="1"/>
  <c r="I54" i="7"/>
  <c r="J54" i="7" s="1"/>
  <c r="J53" i="7"/>
  <c r="I53" i="7"/>
  <c r="I52" i="7"/>
  <c r="J52" i="7" s="1"/>
  <c r="I51" i="7"/>
  <c r="J51" i="7" s="1"/>
  <c r="I50" i="7"/>
  <c r="J50" i="7" s="1"/>
  <c r="I49" i="7"/>
  <c r="J49" i="7" s="1"/>
  <c r="I48" i="7"/>
  <c r="J48" i="7" s="1"/>
  <c r="I47" i="7"/>
  <c r="J47" i="7" s="1"/>
  <c r="I46" i="7"/>
  <c r="J46" i="7" s="1"/>
  <c r="J45" i="7"/>
  <c r="I45" i="7"/>
  <c r="I44" i="7"/>
  <c r="J44" i="7" s="1"/>
  <c r="I43" i="7"/>
  <c r="J43" i="7" s="1"/>
  <c r="I42" i="7"/>
  <c r="J42" i="7" s="1"/>
  <c r="I41" i="7"/>
  <c r="J41" i="7" s="1"/>
  <c r="I40" i="7"/>
  <c r="J40" i="7" s="1"/>
  <c r="I39" i="7"/>
  <c r="J39" i="7" s="1"/>
  <c r="I38" i="7"/>
  <c r="J38" i="7" s="1"/>
  <c r="J37" i="7"/>
  <c r="I37" i="7"/>
  <c r="I36" i="7"/>
  <c r="J36" i="7" s="1"/>
  <c r="I35" i="7"/>
  <c r="J35" i="7" s="1"/>
  <c r="I34" i="7"/>
  <c r="J34" i="7" s="1"/>
  <c r="I33" i="7"/>
  <c r="J33" i="7" s="1"/>
  <c r="I32" i="7"/>
  <c r="J32" i="7" s="1"/>
  <c r="I31" i="7"/>
  <c r="J31" i="7" s="1"/>
  <c r="I30" i="7"/>
  <c r="J30" i="7" s="1"/>
  <c r="J29" i="7"/>
  <c r="I29" i="7"/>
  <c r="I28" i="7"/>
  <c r="J28" i="7" s="1"/>
  <c r="I27" i="7"/>
  <c r="J27" i="7" s="1"/>
  <c r="I26" i="7"/>
  <c r="J26" i="7" s="1"/>
  <c r="I25" i="7"/>
  <c r="J25" i="7" s="1"/>
  <c r="I24" i="7"/>
  <c r="J24" i="7" s="1"/>
  <c r="I23" i="7"/>
  <c r="J23" i="7" s="1"/>
  <c r="I22" i="7"/>
  <c r="J22" i="7" s="1"/>
  <c r="J21" i="7"/>
  <c r="I21" i="7"/>
  <c r="I20" i="7"/>
  <c r="J20" i="7" s="1"/>
  <c r="J16" i="7"/>
  <c r="J15" i="7"/>
  <c r="I15" i="7"/>
  <c r="I13" i="7"/>
  <c r="J13" i="7" s="1"/>
  <c r="J12" i="7"/>
  <c r="I12" i="7"/>
  <c r="I11" i="7"/>
  <c r="J11" i="7" s="1"/>
  <c r="H29" i="10" l="1"/>
  <c r="H17" i="10"/>
  <c r="O5" i="10"/>
  <c r="O7" i="10" s="1"/>
  <c r="P39" i="10"/>
  <c r="P40" i="10"/>
  <c r="P36" i="10"/>
  <c r="P38" i="10"/>
  <c r="P4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201" authorId="0" shapeId="0" xr:uid="{D35A0E4F-3904-455E-88AE-14CEBE152A1A}">
      <text>
        <r>
          <rPr>
            <b/>
            <sz val="9"/>
            <color indexed="81"/>
            <rFont val="Tahoma"/>
            <family val="2"/>
          </rPr>
          <t>user:</t>
        </r>
        <r>
          <rPr>
            <sz val="9"/>
            <color indexed="81"/>
            <rFont val="Tahoma"/>
            <family val="2"/>
          </rPr>
          <t xml:space="preserve">
As captured in the goals
</t>
        </r>
      </text>
    </comment>
    <comment ref="F201" authorId="0" shapeId="0" xr:uid="{1979F3E4-0E4A-43A7-A4FE-4F9A537B1276}">
      <text>
        <r>
          <rPr>
            <b/>
            <sz val="9"/>
            <color indexed="81"/>
            <rFont val="Tahoma"/>
            <family val="2"/>
          </rPr>
          <t>user:</t>
        </r>
        <r>
          <rPr>
            <sz val="9"/>
            <color indexed="81"/>
            <rFont val="Tahoma"/>
            <family val="2"/>
          </rPr>
          <t xml:space="preserve">
Data source Goals
For each goal we are capturing this investments made already.
Total FV to appear here for each goal
</t>
        </r>
      </text>
    </comment>
    <comment ref="G201" authorId="0" shapeId="0" xr:uid="{5D41D3B3-C1EA-4CC0-B243-B217AB1B7576}">
      <text>
        <r>
          <rPr>
            <b/>
            <sz val="9"/>
            <color indexed="81"/>
            <rFont val="Tahoma"/>
            <family val="2"/>
          </rPr>
          <t>user:</t>
        </r>
        <r>
          <rPr>
            <sz val="9"/>
            <color indexed="81"/>
            <rFont val="Tahoma"/>
            <family val="2"/>
          </rPr>
          <t xml:space="preserve">
user:
Data source Goals planning
Monthly investment for each goal tp appear here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B0A3041B-A1F7-4214-99A5-5C82AF9C0E97}">
      <text>
        <r>
          <rPr>
            <sz val="11"/>
            <color rgb="FF000000"/>
            <rFont val="Calibri"/>
            <family val="2"/>
          </rPr>
          <t xml:space="preserve">admin:
a column for self occupied or rented
can we collect rental value here in case rented out
to reflect in income
</t>
        </r>
      </text>
    </comment>
    <comment ref="C8" authorId="0" shapeId="0" xr:uid="{3F5D286A-ED73-4522-A97A-AF9C7114F7EE}">
      <text>
        <r>
          <rPr>
            <sz val="11"/>
            <color rgb="FF000000"/>
            <rFont val="Calibri"/>
            <family val="2"/>
          </rPr>
          <t xml:space="preserve">Shankar:
dynamic wherever possible. Like MF , equity and </t>
        </r>
      </text>
    </comment>
    <comment ref="D8" authorId="0" shapeId="0" xr:uid="{C2D5FF63-B6AF-4A63-8502-E805F03DCF68}">
      <text>
        <r>
          <rPr>
            <sz val="11"/>
            <color rgb="FF000000"/>
            <rFont val="Calibri"/>
            <family val="2"/>
          </rPr>
          <t xml:space="preserve">Shankar:
home loans principal. Can it be dynamic every month post EMI payment
</t>
        </r>
      </text>
    </comment>
  </commentList>
</comments>
</file>

<file path=xl/sharedStrings.xml><?xml version="1.0" encoding="utf-8"?>
<sst xmlns="http://schemas.openxmlformats.org/spreadsheetml/2006/main" count="902" uniqueCount="639">
  <si>
    <t>Financial Goal Planner with Variable Asset Allocation</t>
  </si>
  <si>
    <t>Current monthly expenses that will persist in retirement</t>
  </si>
  <si>
    <t>Annual expenses that will persist in retirement</t>
  </si>
  <si>
    <t>Total average monthly expenses (annual/12)</t>
  </si>
  <si>
    <t>₹</t>
  </si>
  <si>
    <t>Inflation before retirement (%)</t>
  </si>
  <si>
    <t>%</t>
  </si>
  <si>
    <t>Current age</t>
  </si>
  <si>
    <t>Age you wish to retire</t>
  </si>
  <si>
    <t>No of years you expect to live!</t>
  </si>
  <si>
    <t>Years to retirement</t>
  </si>
  <si>
    <t>Monthly expenses in first year of retirement</t>
  </si>
  <si>
    <t>Years in retirement</t>
  </si>
  <si>
    <t>Inflation during retirement (%)</t>
  </si>
  <si>
    <t>Post-tax average return from retirement corpus (%)</t>
  </si>
  <si>
    <t>Note: For now set it to a low number</t>
  </si>
  <si>
    <t>Total Corpus required</t>
  </si>
  <si>
    <t>Post-tax return (used for current and future investments)</t>
  </si>
  <si>
    <t>Post-tax return expected from equity investments %</t>
  </si>
  <si>
    <t>Post-tax return expected from current taxable fixed income %</t>
  </si>
  <si>
    <t>Note: FD, debt fund etc.</t>
  </si>
  <si>
    <t>Rate of return expected from current tax-free fixed income %</t>
  </si>
  <si>
    <t>Note: EPF + PPF + LIC</t>
  </si>
  <si>
    <t>Present Value of investments</t>
  </si>
  <si>
    <t>Future Value</t>
  </si>
  <si>
    <t>Value of current equity invesments</t>
  </si>
  <si>
    <t>Value of current taxable fixed income investments</t>
  </si>
  <si>
    <t>Value of current tax-free fixed income investments</t>
  </si>
  <si>
    <t>Lump sum benefits expected at retirement</t>
  </si>
  <si>
    <t>Current monthly mandatory EPF contribution (employer+employee)</t>
  </si>
  <si>
    <t>Annual increase in this contribution (be realistic) %</t>
  </si>
  <si>
    <t>Expected rate of return for EPF or NPS %</t>
  </si>
  <si>
    <t>Net Corpus to be accumulated</t>
  </si>
  <si>
    <t>Other Goals</t>
  </si>
  <si>
    <t>Enter name of the goal for your reference</t>
  </si>
  <si>
    <t>Years to goal (has to be before retirement)*</t>
  </si>
  <si>
    <t>Present cost</t>
  </si>
  <si>
    <t>Inflation (%)</t>
  </si>
  <si>
    <t>Future Cost</t>
  </si>
  <si>
    <t>Amt invested so far in equity instrument</t>
  </si>
  <si>
    <t>Amt invested so far in tax free fixed income instr.</t>
  </si>
  <si>
    <t>Amt invested so far in taxable fixed income instr.</t>
  </si>
  <si>
    <t>Post-tax return from equity instruments expected (%)</t>
  </si>
  <si>
    <t>Return from tax-free fixed income instr. expected (%)</t>
  </si>
  <si>
    <t>Post-tax return from taxable fixed income expected (%)</t>
  </si>
  <si>
    <t>Equity allocation (%)</t>
  </si>
  <si>
    <t>tax-free fixed income (%)</t>
  </si>
  <si>
    <t>taxable fixed income (%)</t>
  </si>
  <si>
    <t>Net rate of return (post-tax) (%)</t>
  </si>
  <si>
    <t>Future value of curr. Inv.</t>
  </si>
  <si>
    <t>Net Future Cost</t>
  </si>
  <si>
    <t>Cash Flow</t>
  </si>
  <si>
    <t>In this sheet, you can study the growth in income and the amount you need to invest. Results in this sheet are valid only if entries in grey cells are ALL current. Refer to text for more details</t>
  </si>
  <si>
    <t>Note: Press calculate after completing asset allocation exercise for all goals</t>
  </si>
  <si>
    <t>Financial Goals</t>
  </si>
  <si>
    <t>Retirement</t>
  </si>
  <si>
    <t>Goal 2</t>
  </si>
  <si>
    <t>Goal 3</t>
  </si>
  <si>
    <t>Goal 4</t>
  </si>
  <si>
    <t>Goal 5</t>
  </si>
  <si>
    <t>Total Investment Amount Required</t>
  </si>
  <si>
    <t>Monthly Salary take home (remove tax and total EPF/NPS contribution)</t>
  </si>
  <si>
    <t>Home loan EMI</t>
  </si>
  <si>
    <t>Average (annual/12) monthly expenses incl recurring expenses</t>
  </si>
  <si>
    <t>Total investment possible = investible surplus</t>
  </si>
  <si>
    <t>Annual increase in total monthly investment (%)</t>
  </si>
  <si>
    <t>Rate at which salary is expected to increase (%)</t>
  </si>
  <si>
    <t>Year Loan ends</t>
  </si>
  <si>
    <t>Rate of inflation (%)</t>
  </si>
  <si>
    <t>Year</t>
  </si>
  <si>
    <t>Life Events</t>
  </si>
  <si>
    <t>Investment</t>
  </si>
  <si>
    <t>Reults that can be seen only at the site</t>
  </si>
  <si>
    <t>Mention the Name of the Goals</t>
  </si>
  <si>
    <t>https://investor.sebi.gov.in/financial_health_check.html</t>
  </si>
  <si>
    <t>Objective of this budget tool</t>
  </si>
  <si>
    <t>NEW</t>
  </si>
  <si>
    <t>Planning done at the beginning of the month (both income and expenses)</t>
  </si>
  <si>
    <t>1.To keep an eye the income from various sources and expenses -- MOM basis</t>
  </si>
  <si>
    <t>2.To see the PFTM and AFTM. And differences</t>
  </si>
  <si>
    <t>Provision to Keep storage of the monthly plan versus actual status for a few years</t>
  </si>
  <si>
    <t>3.Tracking on daily basis and the summation also daily basis</t>
  </si>
  <si>
    <t>4.Totalling the daily data for each week and summation as on date</t>
  </si>
  <si>
    <t>5. Linked to Goals</t>
  </si>
  <si>
    <t>Budget for the month of --------------------</t>
  </si>
  <si>
    <t>Annual Budget -- year ----------------</t>
  </si>
  <si>
    <t>Income heads</t>
  </si>
  <si>
    <t>Plan</t>
  </si>
  <si>
    <t xml:space="preserve">Actual income </t>
  </si>
  <si>
    <t>Plan Minus Actual</t>
  </si>
  <si>
    <t>Cumulative Plan total</t>
  </si>
  <si>
    <t>Cumulative Actual total</t>
  </si>
  <si>
    <t>Week 1</t>
  </si>
  <si>
    <t>Week 2</t>
  </si>
  <si>
    <t>Week 3</t>
  </si>
  <si>
    <t>Week 4</t>
  </si>
  <si>
    <t>Week 5</t>
  </si>
  <si>
    <t>Month total</t>
  </si>
  <si>
    <t>Salary</t>
  </si>
  <si>
    <t>Rental</t>
  </si>
  <si>
    <t>Business</t>
  </si>
  <si>
    <t>Capital gain</t>
  </si>
  <si>
    <t>Others</t>
  </si>
  <si>
    <t>Total</t>
  </si>
  <si>
    <t>Expenses</t>
  </si>
  <si>
    <t>Actual expenses</t>
  </si>
  <si>
    <t>Savings / overspent</t>
  </si>
  <si>
    <t>Annual Expenses</t>
  </si>
  <si>
    <t>Heads</t>
  </si>
  <si>
    <t>Sub heads</t>
  </si>
  <si>
    <t>Housing</t>
  </si>
  <si>
    <t>Rent</t>
  </si>
  <si>
    <t>Second mortgage or rent</t>
  </si>
  <si>
    <t>Electricity</t>
  </si>
  <si>
    <t>Gas</t>
  </si>
  <si>
    <t>Water and sewer</t>
  </si>
  <si>
    <t>House and Water</t>
  </si>
  <si>
    <t>Waste removal</t>
  </si>
  <si>
    <t>Maintenance or repairs</t>
  </si>
  <si>
    <t>servant maid</t>
  </si>
  <si>
    <t>monthly maintenance</t>
  </si>
  <si>
    <t>gardening</t>
  </si>
  <si>
    <t>Food</t>
  </si>
  <si>
    <t>Groceries</t>
  </si>
  <si>
    <t>Dining out</t>
  </si>
  <si>
    <t>vegetables / fruits</t>
  </si>
  <si>
    <t>snacks etc</t>
  </si>
  <si>
    <t>meat etc</t>
  </si>
  <si>
    <t>Children</t>
  </si>
  <si>
    <t>Medical</t>
  </si>
  <si>
    <t>Clothing children related only</t>
  </si>
  <si>
    <t>evening tuition expenses</t>
  </si>
  <si>
    <t>School tuition</t>
  </si>
  <si>
    <t>sports / arts others expenses</t>
  </si>
  <si>
    <t>sports related travel , dress , others</t>
  </si>
  <si>
    <t>uniforms, books etc</t>
  </si>
  <si>
    <t>Organization dues or fees</t>
  </si>
  <si>
    <t>Lunch money</t>
  </si>
  <si>
    <t>Child care</t>
  </si>
  <si>
    <t>Toys/games</t>
  </si>
  <si>
    <t>creche exp</t>
  </si>
  <si>
    <t>Communication</t>
  </si>
  <si>
    <t>Fixed Phone</t>
  </si>
  <si>
    <t>Mobile</t>
  </si>
  <si>
    <t>Net Connection</t>
  </si>
  <si>
    <t>Broadband</t>
  </si>
  <si>
    <t>Transportation</t>
  </si>
  <si>
    <t>Bus/taxi fare</t>
  </si>
  <si>
    <t>Licensing</t>
  </si>
  <si>
    <t>Fuel - vehicle 1</t>
  </si>
  <si>
    <t>Fuel - vehicle 2</t>
  </si>
  <si>
    <t>Fuel - vehicle 3</t>
  </si>
  <si>
    <t>Maintenance Vehicle 1</t>
  </si>
  <si>
    <t>Maintenance vehicle 2</t>
  </si>
  <si>
    <t>Maintenance vehicle 3</t>
  </si>
  <si>
    <t>Entertainment</t>
  </si>
  <si>
    <t>Video/DVD</t>
  </si>
  <si>
    <t>Movies /Cable/DTH</t>
  </si>
  <si>
    <t>Concerts</t>
  </si>
  <si>
    <t>Sporting events</t>
  </si>
  <si>
    <t>Live theater</t>
  </si>
  <si>
    <t>Magazines / books</t>
  </si>
  <si>
    <t>Newspaper</t>
  </si>
  <si>
    <t>Any other</t>
  </si>
  <si>
    <t>Supports to dependents</t>
  </si>
  <si>
    <t>Monthly payment</t>
  </si>
  <si>
    <t>medical expense</t>
  </si>
  <si>
    <t>dress etc</t>
  </si>
  <si>
    <t>Personal Care</t>
  </si>
  <si>
    <t>Hair/nails</t>
  </si>
  <si>
    <t>dress / other related</t>
  </si>
  <si>
    <t>Dry cleaning</t>
  </si>
  <si>
    <t>Health club</t>
  </si>
  <si>
    <t>perosnal habits related</t>
  </si>
  <si>
    <t>Replacement expenses</t>
  </si>
  <si>
    <t>AC</t>
  </si>
  <si>
    <t>Washing machine</t>
  </si>
  <si>
    <t>TV</t>
  </si>
  <si>
    <t>Furniture</t>
  </si>
  <si>
    <t>Oven</t>
  </si>
  <si>
    <t>Kitchen appliances</t>
  </si>
  <si>
    <t>Taxes - Income tax, property tax, water and sewerage tax</t>
  </si>
  <si>
    <t>Income Tax</t>
  </si>
  <si>
    <t>House Tax 1</t>
  </si>
  <si>
    <t>House Tax 2</t>
  </si>
  <si>
    <t>House Tax 3</t>
  </si>
  <si>
    <t>water tax 1</t>
  </si>
  <si>
    <t>water tax 2</t>
  </si>
  <si>
    <t>water tax 3</t>
  </si>
  <si>
    <t>Other</t>
  </si>
  <si>
    <t>Savings or Investments</t>
  </si>
  <si>
    <t>PF deductions</t>
  </si>
  <si>
    <t>Pension deduction</t>
  </si>
  <si>
    <t>Retirement account</t>
  </si>
  <si>
    <t>Investment account</t>
  </si>
  <si>
    <t>Education</t>
  </si>
  <si>
    <t>marriage</t>
  </si>
  <si>
    <t>Travel</t>
  </si>
  <si>
    <t>Home -- seed money</t>
  </si>
  <si>
    <t>Tax savings related</t>
  </si>
  <si>
    <t>*</t>
  </si>
  <si>
    <t>Loans repayment</t>
  </si>
  <si>
    <t>Personal</t>
  </si>
  <si>
    <t>Student</t>
  </si>
  <si>
    <t>Home loan</t>
  </si>
  <si>
    <t>Car loan</t>
  </si>
  <si>
    <t>2 wheeler  loan</t>
  </si>
  <si>
    <t>Credit card (cash advance, outstandings only</t>
  </si>
  <si>
    <t>Insurance</t>
  </si>
  <si>
    <t>Home</t>
  </si>
  <si>
    <t>Health</t>
  </si>
  <si>
    <t>Life all included</t>
  </si>
  <si>
    <t>Auto all vehicles</t>
  </si>
  <si>
    <t>others</t>
  </si>
  <si>
    <t>Grooming</t>
  </si>
  <si>
    <t>Toys</t>
  </si>
  <si>
    <t>Charity</t>
  </si>
  <si>
    <t>Charity 1</t>
  </si>
  <si>
    <t>Charity 2</t>
  </si>
  <si>
    <t>Charity 3</t>
  </si>
  <si>
    <t>Overall total</t>
  </si>
  <si>
    <t>Net cash flow</t>
  </si>
  <si>
    <t>i16-i165</t>
  </si>
  <si>
    <t>Chart for income</t>
  </si>
  <si>
    <t>Monthly</t>
  </si>
  <si>
    <t>Annual (cumulative)</t>
  </si>
  <si>
    <t>Total income -Actual</t>
  </si>
  <si>
    <t>i16</t>
  </si>
  <si>
    <t>l16/l167</t>
  </si>
  <si>
    <t>i11/i16</t>
  </si>
  <si>
    <t>l11/l167</t>
  </si>
  <si>
    <t>Rental income</t>
  </si>
  <si>
    <t>i12/i16</t>
  </si>
  <si>
    <t>l12/l167</t>
  </si>
  <si>
    <t>Business income</t>
  </si>
  <si>
    <t>i13/i16</t>
  </si>
  <si>
    <t>(Please show proportionately). I could not do it because of constraints</t>
  </si>
  <si>
    <t>l13/l167</t>
  </si>
  <si>
    <t>i14/i16</t>
  </si>
  <si>
    <t>l14/l167</t>
  </si>
  <si>
    <t>Other income</t>
  </si>
  <si>
    <t>i15/i16</t>
  </si>
  <si>
    <t>l15/l167</t>
  </si>
  <si>
    <t>Chart for expenses</t>
  </si>
  <si>
    <t>in percetage</t>
  </si>
  <si>
    <t>charts</t>
  </si>
  <si>
    <t>i31/i165</t>
  </si>
  <si>
    <t>Foods</t>
  </si>
  <si>
    <t>i38/i165</t>
  </si>
  <si>
    <t>Children related</t>
  </si>
  <si>
    <t>i52/i165</t>
  </si>
  <si>
    <t>i60/i165</t>
  </si>
  <si>
    <t>i70/i165</t>
  </si>
  <si>
    <t>i80/i165</t>
  </si>
  <si>
    <t>Support to dependents</t>
  </si>
  <si>
    <t>i87/i165</t>
  </si>
  <si>
    <t>Personal expenses</t>
  </si>
  <si>
    <t>i96/i165</t>
  </si>
  <si>
    <t>i104/i165</t>
  </si>
  <si>
    <t>Taxes - all</t>
  </si>
  <si>
    <t>i114/i165</t>
  </si>
  <si>
    <t>Savings and investment</t>
  </si>
  <si>
    <t>i125/i165</t>
  </si>
  <si>
    <t>Loan repayment</t>
  </si>
  <si>
    <t>i137/i165</t>
  </si>
  <si>
    <t>i45/i165</t>
  </si>
  <si>
    <t>i152/i165</t>
  </si>
  <si>
    <t>i157/i165</t>
  </si>
  <si>
    <t>i161/i165</t>
  </si>
  <si>
    <t>Net cash flow at last</t>
  </si>
  <si>
    <t>Horizontal bars like in income each expese as a percentage of income</t>
  </si>
  <si>
    <t>Your financial plan progress report</t>
  </si>
  <si>
    <t>Time Horizon</t>
  </si>
  <si>
    <t>Goal</t>
  </si>
  <si>
    <t>Your Priority of goals</t>
  </si>
  <si>
    <t>Time horizon</t>
  </si>
  <si>
    <t>Totally Required investment</t>
  </si>
  <si>
    <t>Investments already made</t>
  </si>
  <si>
    <t>Balance monthly investment need</t>
  </si>
  <si>
    <t>Achievable or not</t>
  </si>
  <si>
    <t>Please see comments provided in the cells</t>
  </si>
  <si>
    <t>Very short term investment requirement</t>
  </si>
  <si>
    <t>buying a Honda city car</t>
  </si>
  <si>
    <t>&lt; 1 year</t>
  </si>
  <si>
    <t>Short term investment requirement</t>
  </si>
  <si>
    <t>1 -- 3 years</t>
  </si>
  <si>
    <t>Medium term investment requirement</t>
  </si>
  <si>
    <t>3 -- 5 years</t>
  </si>
  <si>
    <t>Intermediate term investment</t>
  </si>
  <si>
    <t>Son's education</t>
  </si>
  <si>
    <t>5 -- 10 years</t>
  </si>
  <si>
    <t>long term investment requirement</t>
  </si>
  <si>
    <t>retirement</t>
  </si>
  <si>
    <t>&gt; 10 years</t>
  </si>
  <si>
    <t>Liabilities summary for Mr / Mrs / Ms ………………………</t>
  </si>
  <si>
    <t>Date</t>
  </si>
  <si>
    <t>Liabilities summary</t>
  </si>
  <si>
    <t>Loan category</t>
  </si>
  <si>
    <t>Principal outstanding as of today</t>
  </si>
  <si>
    <t>Interest rate</t>
  </si>
  <si>
    <t>Monthly interest outgo</t>
  </si>
  <si>
    <t>Annual interest outgo</t>
  </si>
  <si>
    <t>Credit card loan</t>
  </si>
  <si>
    <t>cedit card loan</t>
  </si>
  <si>
    <t>as per purpose of loan mentioned</t>
  </si>
  <si>
    <t>Personal loan</t>
  </si>
  <si>
    <t>Hand loan</t>
  </si>
  <si>
    <t>Home mortgage loan</t>
  </si>
  <si>
    <t>Gold loan</t>
  </si>
  <si>
    <t>mortgage loan</t>
  </si>
  <si>
    <t>to house. Apartment only</t>
  </si>
  <si>
    <t>Bank  cash credit / OD loan</t>
  </si>
  <si>
    <t>Education loan</t>
  </si>
  <si>
    <t xml:space="preserve">Home loan </t>
  </si>
  <si>
    <t>Housing loan</t>
  </si>
  <si>
    <t>to link to buildings and flats only</t>
  </si>
  <si>
    <t>PF Loan</t>
  </si>
  <si>
    <t>PF loan</t>
  </si>
  <si>
    <t>to company offered benefits</t>
  </si>
  <si>
    <t xml:space="preserve">Chit fund </t>
  </si>
  <si>
    <t>Business loan</t>
  </si>
  <si>
    <t>please remove this from drop down</t>
  </si>
  <si>
    <t>Auto loan</t>
  </si>
  <si>
    <t>Any other loans</t>
  </si>
  <si>
    <t>Not applicable</t>
  </si>
  <si>
    <t>Analysis</t>
  </si>
  <si>
    <t>Ratios</t>
  </si>
  <si>
    <t>Overall rate of interest (annul interest paid/Total loan value)</t>
  </si>
  <si>
    <t>Loan servicing cost (interest outgo / income)</t>
  </si>
  <si>
    <t>E17/income</t>
  </si>
  <si>
    <t>income comes from cash flow statement last year</t>
  </si>
  <si>
    <t>Debt versus your assets (debt/total assets)</t>
  </si>
  <si>
    <t>E17/assets</t>
  </si>
  <si>
    <t>assets come from net worth (assets before liability only. As shown in assets column)</t>
  </si>
  <si>
    <t>PF return versus interest paid(interest /PF return)</t>
  </si>
  <si>
    <t>E17/ return from portfolio in rupess value</t>
  </si>
  <si>
    <t>total return in rupee value from portfolio return(all assets included)</t>
  </si>
  <si>
    <t>Your savings / income</t>
  </si>
  <si>
    <t>Net cash flow / Total income</t>
  </si>
  <si>
    <t>both come from cash flow statement of last year</t>
  </si>
  <si>
    <t>Networth of the family of --------------------------</t>
  </si>
  <si>
    <t>Physical Assets</t>
  </si>
  <si>
    <t>Asset details</t>
  </si>
  <si>
    <t>Current Value</t>
  </si>
  <si>
    <t>Liabilities</t>
  </si>
  <si>
    <t>Net value</t>
  </si>
  <si>
    <t>Asset heads</t>
  </si>
  <si>
    <t>Real Estate</t>
  </si>
  <si>
    <t>Independent House</t>
  </si>
  <si>
    <t>Flat / Apartment</t>
  </si>
  <si>
    <t>Vacant Plots</t>
  </si>
  <si>
    <t>Farm House</t>
  </si>
  <si>
    <t>Rural Agri Land</t>
  </si>
  <si>
    <t>Urban Agri Land</t>
  </si>
  <si>
    <t>Shops</t>
  </si>
  <si>
    <t xml:space="preserve">commercial place </t>
  </si>
  <si>
    <t>Real estate total</t>
  </si>
  <si>
    <t>Precious metals</t>
  </si>
  <si>
    <t>Gold bar</t>
  </si>
  <si>
    <t>Gold coins</t>
  </si>
  <si>
    <t>Silver bar</t>
  </si>
  <si>
    <t>Diamond</t>
  </si>
  <si>
    <t>Precious metals total</t>
  </si>
  <si>
    <t>Automobiles</t>
  </si>
  <si>
    <t>Auto total</t>
  </si>
  <si>
    <t>Physical assets total</t>
  </si>
  <si>
    <t>Chart or Graph</t>
  </si>
  <si>
    <t xml:space="preserve"> CV ------------ minus liability -----------------  = Networth -----------------</t>
  </si>
  <si>
    <t>Please show them in right proportions</t>
  </si>
  <si>
    <t>Financial Assets --  Equity</t>
  </si>
  <si>
    <t>Direct Equity</t>
  </si>
  <si>
    <t>All direct Equity --Indian</t>
  </si>
  <si>
    <t>Direct Equity -- Foreign</t>
  </si>
  <si>
    <t>Partnership investments</t>
  </si>
  <si>
    <t>PMS investments</t>
  </si>
  <si>
    <t>Direct equity total</t>
  </si>
  <si>
    <t>ETFs</t>
  </si>
  <si>
    <t>ETF total</t>
  </si>
  <si>
    <t>Mutual Funds - Equity oriented</t>
  </si>
  <si>
    <t>All equity oriented mutual funds</t>
  </si>
  <si>
    <t>All hybrid mutual funds</t>
  </si>
  <si>
    <t>Equity oriented total</t>
  </si>
  <si>
    <t>Equity total</t>
  </si>
  <si>
    <t>Physical assets</t>
  </si>
  <si>
    <t>Financial Assets -- National Pension Scheme</t>
  </si>
  <si>
    <t>NPS details</t>
  </si>
  <si>
    <t>Equity  Tier 1</t>
  </si>
  <si>
    <t>Corporate bonds - Tier 1</t>
  </si>
  <si>
    <t>Government bonds - Tier1</t>
  </si>
  <si>
    <t>Equity  Tier 2</t>
  </si>
  <si>
    <t>Corporate bonds - Tier 2</t>
  </si>
  <si>
    <t>Government bonds - Tier2</t>
  </si>
  <si>
    <t>NPS total</t>
  </si>
  <si>
    <t>NPS</t>
  </si>
  <si>
    <t>Equity related</t>
  </si>
  <si>
    <t>Corporate bond related</t>
  </si>
  <si>
    <t>Government bond related</t>
  </si>
  <si>
    <t>Financial Assets --  Debt</t>
  </si>
  <si>
    <t>Direct bonds</t>
  </si>
  <si>
    <t>Govt bonds</t>
  </si>
  <si>
    <t>Corporate bonds</t>
  </si>
  <si>
    <t>Bonds total</t>
  </si>
  <si>
    <t>Fixed  / term deposits</t>
  </si>
  <si>
    <t>Bank</t>
  </si>
  <si>
    <t>Post office</t>
  </si>
  <si>
    <t>FD total</t>
  </si>
  <si>
    <t>Corporate deposits</t>
  </si>
  <si>
    <t>Corporate deposits total</t>
  </si>
  <si>
    <t>Recurring deposits</t>
  </si>
  <si>
    <t>Bank RDs</t>
  </si>
  <si>
    <t>Post office RDs</t>
  </si>
  <si>
    <t>RD total</t>
  </si>
  <si>
    <t>Debt funds from Mutual funds</t>
  </si>
  <si>
    <t>Debt funds total</t>
  </si>
  <si>
    <t>Money market funds from Mutual funds</t>
  </si>
  <si>
    <t>Money market funds total</t>
  </si>
  <si>
    <t>Postal savings</t>
  </si>
  <si>
    <t>NSS</t>
  </si>
  <si>
    <t>NSC</t>
  </si>
  <si>
    <t>KVP</t>
  </si>
  <si>
    <t>PPF</t>
  </si>
  <si>
    <t>Post office monthly income scheme</t>
  </si>
  <si>
    <t>PO savings total</t>
  </si>
  <si>
    <t>Debt portfolio investments</t>
  </si>
  <si>
    <t>Debt PF total</t>
  </si>
  <si>
    <t>Company offered benefits</t>
  </si>
  <si>
    <t>EPF accumulation</t>
  </si>
  <si>
    <t>Super annuation accumulation</t>
  </si>
  <si>
    <t>Gratuity accumuation</t>
  </si>
  <si>
    <t>Leave encashment accumulation</t>
  </si>
  <si>
    <t>Company benefits total</t>
  </si>
  <si>
    <t>Savings bank accounts</t>
  </si>
  <si>
    <t>SB accounts total</t>
  </si>
  <si>
    <t>Insurance --   investment related</t>
  </si>
  <si>
    <t>ULIP Equity oriented</t>
  </si>
  <si>
    <t>ULIP-Debt oriented</t>
  </si>
  <si>
    <t>Insurance -- Endowment</t>
  </si>
  <si>
    <t>Insurance -- pension products</t>
  </si>
  <si>
    <t>Other insurance products</t>
  </si>
  <si>
    <t>Insurance total</t>
  </si>
  <si>
    <t>Debt Total</t>
  </si>
  <si>
    <t xml:space="preserve">Financial assets -- Debt </t>
  </si>
  <si>
    <t>Bonds</t>
  </si>
  <si>
    <t>MF Debt funds</t>
  </si>
  <si>
    <t>Personal Assets</t>
  </si>
  <si>
    <t xml:space="preserve">Personal Assets </t>
  </si>
  <si>
    <t>Jewellery</t>
  </si>
  <si>
    <t>Stamps</t>
  </si>
  <si>
    <t>Antiques</t>
  </si>
  <si>
    <t>Paintings</t>
  </si>
  <si>
    <t>Personal assets total</t>
  </si>
  <si>
    <t>Personal assetz</t>
  </si>
  <si>
    <t>Total Value in RS</t>
  </si>
  <si>
    <t>Painting</t>
  </si>
  <si>
    <t>Coins</t>
  </si>
  <si>
    <t>Networth -- Asset summary</t>
  </si>
  <si>
    <t>Financial assets</t>
  </si>
  <si>
    <t>Equity assets</t>
  </si>
  <si>
    <t>NPS assets</t>
  </si>
  <si>
    <t>Debt assets</t>
  </si>
  <si>
    <t>Personal assets</t>
  </si>
  <si>
    <t>Grand total</t>
  </si>
  <si>
    <t>All assets</t>
  </si>
  <si>
    <t>(CV --------- minus  Liability-----------) = Networth ------------</t>
  </si>
  <si>
    <t>Physical</t>
  </si>
  <si>
    <t>Financial assets -- Equity</t>
  </si>
  <si>
    <t>Financial assets -- NPS</t>
  </si>
  <si>
    <t>Financial assets -- Debt</t>
  </si>
  <si>
    <t>Please note:</t>
  </si>
  <si>
    <t>If there is no liability then CV &amp; networth are same</t>
  </si>
  <si>
    <t>Please show the same values as the first one in all assets even if there is no liability.Liability to show as 0 then</t>
  </si>
  <si>
    <t>The last graph to appear in dashboard daily updated</t>
  </si>
  <si>
    <t>Real Estate Total</t>
  </si>
  <si>
    <t>Precious Metals Total</t>
  </si>
  <si>
    <t>Automobile Total</t>
  </si>
  <si>
    <t>Precious Metals</t>
  </si>
  <si>
    <t>Gold</t>
  </si>
  <si>
    <t>Gold Total</t>
  </si>
  <si>
    <t>Silver</t>
  </si>
  <si>
    <t>Silver Total</t>
  </si>
  <si>
    <t>Diamond Total</t>
  </si>
  <si>
    <t>Automobile</t>
  </si>
  <si>
    <t>4Wheeler</t>
  </si>
  <si>
    <t>Physical Assets Total</t>
  </si>
  <si>
    <t>Financial Assets Portfolio</t>
  </si>
  <si>
    <t>Equity Portfolio</t>
  </si>
  <si>
    <t>Direct equity</t>
  </si>
  <si>
    <t>All direct Equity -- Indian</t>
  </si>
  <si>
    <t>AMRUTANJAN</t>
  </si>
  <si>
    <t>GUJALKALI</t>
  </si>
  <si>
    <t>M&amp;M</t>
  </si>
  <si>
    <t>All direct Equity -- Indian Total</t>
  </si>
  <si>
    <t>P&amp;G</t>
  </si>
  <si>
    <t>Direct Equity -- Foreign Total</t>
  </si>
  <si>
    <t>bbbb</t>
  </si>
  <si>
    <t>Partnership investments Total</t>
  </si>
  <si>
    <t>kurkere</t>
  </si>
  <si>
    <t>PMS investments Total</t>
  </si>
  <si>
    <t>All equity oriented funds Total</t>
  </si>
  <si>
    <t>Equity -- Mutual funds</t>
  </si>
  <si>
    <t>All hybrid funds Total</t>
  </si>
  <si>
    <t>All equity oriented funds</t>
  </si>
  <si>
    <t>Axis Long Term Equity Fund (G)</t>
  </si>
  <si>
    <t>Birla Sun Life Frontline Equity Fund (G)</t>
  </si>
  <si>
    <t>HDFC Growth Fund (G)</t>
  </si>
  <si>
    <t>ICICI Prudential Top 100 Fund (G)</t>
  </si>
  <si>
    <t>Reliance Banking Fund - Direct Plan (G)</t>
  </si>
  <si>
    <t>SBI Magnum Tax Gain Scheme (G)</t>
  </si>
  <si>
    <t>All hybrid funds</t>
  </si>
  <si>
    <t>DSP BlackRock Balanced Fund (G)</t>
  </si>
  <si>
    <t>Escorts Balanced Fund - Direct Plan (G)</t>
  </si>
  <si>
    <t>Escorts Balanced Fund (G)</t>
  </si>
  <si>
    <t>MF equity total</t>
  </si>
  <si>
    <t>Overall equity value</t>
  </si>
  <si>
    <t>Debt Portfolio</t>
  </si>
  <si>
    <t>OtherCorporateBonds</t>
  </si>
  <si>
    <t>18.Aug.2016</t>
  </si>
  <si>
    <t>28/07/2017</t>
  </si>
  <si>
    <t>Direct bonds Total</t>
  </si>
  <si>
    <t>Fixed / term deposits</t>
  </si>
  <si>
    <t>16.Jul.2015</t>
  </si>
  <si>
    <t>NaN</t>
  </si>
  <si>
    <t>Corporate</t>
  </si>
  <si>
    <t>18.Feb.2010</t>
  </si>
  <si>
    <t>Fixed / term deposits Total</t>
  </si>
  <si>
    <t>PostOffice</t>
  </si>
  <si>
    <t>01.Apr.2016</t>
  </si>
  <si>
    <t>Recurring deposits Total</t>
  </si>
  <si>
    <t>ICICI Prudential Savings Fund - Plan A (G)</t>
  </si>
  <si>
    <t>10.Jun.2014</t>
  </si>
  <si>
    <t>22.Jul.2017</t>
  </si>
  <si>
    <t>Templeton India Corporate Bond Opportunities Fund (G)</t>
  </si>
  <si>
    <t>01.Mar.2012</t>
  </si>
  <si>
    <t>Debt funds from Mutual funds Total</t>
  </si>
  <si>
    <t>Templeton India Treasury Management Account - Super Inst. Plan (G)</t>
  </si>
  <si>
    <t>27.Mar.2012</t>
  </si>
  <si>
    <t>Money market funds from Mutual funds Total</t>
  </si>
  <si>
    <t>HDFC Gold Exchange Traded Fund</t>
  </si>
  <si>
    <t>29.Mar.2012</t>
  </si>
  <si>
    <t>ETFs Total</t>
  </si>
  <si>
    <t>NationalSavingCertificate</t>
  </si>
  <si>
    <t>12.Jun.2012</t>
  </si>
  <si>
    <t>PostofficeMonthlyincomescheme</t>
  </si>
  <si>
    <t>PublicProvidendfund</t>
  </si>
  <si>
    <t>03.Feb.2010</t>
  </si>
  <si>
    <t>10.Mar.2011</t>
  </si>
  <si>
    <t>Postal savings Total</t>
  </si>
  <si>
    <t>abcdef</t>
  </si>
  <si>
    <t>28.May.2012</t>
  </si>
  <si>
    <t>Debt portfolio investments Total</t>
  </si>
  <si>
    <t>Gratuity value as of today</t>
  </si>
  <si>
    <t>PF accumulation as of today</t>
  </si>
  <si>
    <t>Company offered benefits Total</t>
  </si>
  <si>
    <t>Current</t>
  </si>
  <si>
    <t>26.Jun.2017</t>
  </si>
  <si>
    <t>Savings</t>
  </si>
  <si>
    <t>01.Feb.2011</t>
  </si>
  <si>
    <t>Savings bank accounts Total</t>
  </si>
  <si>
    <t>Overall Debt value</t>
  </si>
  <si>
    <t>Finacial Portfolio Total</t>
  </si>
  <si>
    <t>Personal Assets Portfolio</t>
  </si>
  <si>
    <t>Jewels</t>
  </si>
  <si>
    <t>30.Jan.1990</t>
  </si>
  <si>
    <t>13.Jul.2017</t>
  </si>
  <si>
    <t>03.Jul.2017</t>
  </si>
  <si>
    <t>Total personal assets value</t>
  </si>
  <si>
    <t>All assets total</t>
  </si>
  <si>
    <t>Portfolio Summary</t>
  </si>
  <si>
    <t>Purchased Value</t>
  </si>
  <si>
    <t>Weighted Average</t>
  </si>
  <si>
    <t>Weighted Average Return</t>
  </si>
  <si>
    <t>NaN is causing the problem across the calculations. We will find a way out.</t>
  </si>
  <si>
    <t>Financial Assets</t>
  </si>
  <si>
    <t>Notes</t>
  </si>
  <si>
    <t>1.In debt, current value amount is not showing. Result return value esp for weighted average shows Na</t>
  </si>
  <si>
    <t>Amount to show based on time and interest calculation.</t>
  </si>
  <si>
    <t>Or the initial amount to be shown. As in other products in debt.</t>
  </si>
  <si>
    <t>2.Return calculation shown in decimals. Clients may not understand it. Please multiply the decimal by 100. Please show upto 3 decimals only(for exsample 9.023)</t>
  </si>
  <si>
    <t>3.Current dates are not changing regularly.</t>
  </si>
  <si>
    <t>4.Physical assets (real estate, precious metals and Auto put together)calculations shown by the side. Again weighted average of these assets' total only</t>
  </si>
  <si>
    <t>5.Same way for equity(direct equity, foreign equity, equity oriented mutual fund and Hybrid mutual fund) calculations. Shown by theside -- weighted average of all of them</t>
  </si>
  <si>
    <t xml:space="preserve">6.All assets total and summary of assets shown below their total should be the same. </t>
  </si>
  <si>
    <t>7.Color for each assets can be different. As used in Excel in Output</t>
  </si>
  <si>
    <t>8.Asset heads to be in separate column to distinguish each other. Looks cluttered now</t>
  </si>
  <si>
    <t>Asset head</t>
  </si>
  <si>
    <t>Equity</t>
  </si>
  <si>
    <t>Direct</t>
  </si>
  <si>
    <t>Foreign</t>
  </si>
  <si>
    <t>Mfund</t>
  </si>
  <si>
    <t>Equity oriented</t>
  </si>
  <si>
    <t>Hybrid</t>
  </si>
  <si>
    <t>9.Other insurance products are not showing</t>
  </si>
  <si>
    <t>RD calculations</t>
  </si>
  <si>
    <t>10. NPS not showing</t>
  </si>
  <si>
    <t>Can it be dynamic month on month</t>
  </si>
  <si>
    <t>11. Charts</t>
  </si>
  <si>
    <t>separate for each asset -- Physical, financial and personal</t>
  </si>
  <si>
    <t>Taking total only</t>
  </si>
  <si>
    <t>To show current value and weighted average percentage</t>
  </si>
  <si>
    <t>Life Insurance Calculator for Young Earners</t>
  </si>
  <si>
    <t>Monthly income your family will need to meet expenses in your absence</t>
  </si>
  <si>
    <t>How long would this income be needed</t>
  </si>
  <si>
    <t>Annual Inflation in monthly expenses. monthly income will increase annually at this rate (inflation-indexed income) (%)</t>
  </si>
  <si>
    <t>Return expected when part of the insurance sum is invested to meet expenses (%)</t>
  </si>
  <si>
    <t>Current life insurance cover</t>
  </si>
  <si>
    <t>Assets your family can use to generate some income. Don’t include anything you don’t want them sell</t>
  </si>
  <si>
    <t>Current liabilities (personal loan, credit card debt). If you have separate cover for home loan you don’t need to include that</t>
  </si>
  <si>
    <r>
      <t>(A)</t>
    </r>
    <r>
      <rPr>
        <sz val="8"/>
        <color rgb="FF333333"/>
        <rFont val="Arial"/>
        <family val="2"/>
      </rPr>
      <t> Sum required to generate an inflation indexed monthly income</t>
    </r>
  </si>
  <si>
    <r>
      <t>(B)</t>
    </r>
    <r>
      <rPr>
        <sz val="8"/>
        <color rgb="FF333333"/>
        <rFont val="Arial"/>
        <family val="2"/>
      </rPr>
      <t> Sum required to clear your liabilities</t>
    </r>
  </si>
  <si>
    <r>
      <t>(C)</t>
    </r>
    <r>
      <rPr>
        <sz val="8"/>
        <color rgb="FF333333"/>
        <rFont val="Arial"/>
        <family val="2"/>
      </rPr>
      <t> Usable assets will be subtracted from sum of above two quantities</t>
    </r>
  </si>
  <si>
    <t>So net insurance required (A+B-C) in Lakhs</t>
  </si>
  <si>
    <t>You need to review this insurance amount if you have children</t>
  </si>
  <si>
    <t>Disclaimer:</t>
  </si>
  <si>
    <t>Please note that these calculators are for illustrations only and do not represent actual returns.</t>
  </si>
  <si>
    <t>Stock Market does not have a fixed rate of return and it is not possible to predict the rate of return.</t>
  </si>
  <si>
    <r>
      <t>2026 © Securities and Exchange Board of India.</t>
    </r>
    <r>
      <rPr>
        <sz val="10"/>
        <color rgb="FFFFFFFF"/>
        <rFont val="Arial"/>
        <family val="2"/>
      </rPr>
      <t> All Rights Reserved.</t>
    </r>
  </si>
  <si>
    <t>Sitemap</t>
  </si>
  <si>
    <t>Contact Us</t>
  </si>
  <si>
    <t>Disclaimer</t>
  </si>
  <si>
    <t>Cost of Delay Calculator</t>
  </si>
  <si>
    <t>Net rate of return (this is an approximation) %</t>
  </si>
  <si>
    <t>Monthly investment required</t>
  </si>
  <si>
    <t>Rate at which the monthly</t>
  </si>
  <si>
    <t>investment increases*</t>
  </si>
  <si>
    <t>If you start today</t>
  </si>
  <si>
    <t>*wrt current status</t>
  </si>
  <si>
    <t>Delay by 1 year</t>
  </si>
  <si>
    <t>Delay by 2 years</t>
  </si>
  <si>
    <t>Delay by 3 years</t>
  </si>
  <si>
    <t>Delay by 4 years</t>
  </si>
  <si>
    <t>Delay by 5 years</t>
  </si>
  <si>
    <t>Delay by 6 years</t>
  </si>
  <si>
    <t>Delay by 7 years</t>
  </si>
  <si>
    <t>Delay by 8 years</t>
  </si>
  <si>
    <t>Delay by 9 years</t>
  </si>
  <si>
    <t>Delay by 10 years</t>
  </si>
  <si>
    <t>https://investor.sebi.gov.in/calculators/Married_with_KidEarners.html</t>
  </si>
  <si>
    <t>https://investor.sebi.gov.in/calculators/Cost_of_delay_Calculator.html</t>
  </si>
  <si>
    <t>https://investor.sebi.gov.in/calculators/index.html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</si>
</sst>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168" formatCode="[$-409]d\-mmm\-yy;@"/>
    <numFmt numFmtId="169" formatCode="0.000"/>
  </numFmts>
  <fonts count="48">
    <font>
      <sz val="11"/>
      <color theme="1"/>
      <name val="Calibri"/>
      <family val="2"/>
      <scheme val="minor"/>
    </font>
    <font>
      <b/>
      <sz val="11"/>
      <color theme="1"/>
      <name val="Calibri"/>
      <family val="2"/>
      <scheme val="minor"/>
    </font>
    <font>
      <sz val="8"/>
      <color rgb="FF333333"/>
      <name val="Arial"/>
      <family val="2"/>
    </font>
    <font>
      <sz val="14"/>
      <color rgb="FF114C69"/>
      <name val="Arial"/>
      <family val="2"/>
    </font>
    <font>
      <sz val="8"/>
      <color rgb="FF212529"/>
      <name val="Arial"/>
      <family val="2"/>
    </font>
    <font>
      <b/>
      <i/>
      <sz val="7"/>
      <color rgb="FF677B74"/>
      <name val="Arial"/>
      <family val="2"/>
    </font>
    <font>
      <b/>
      <sz val="8"/>
      <color rgb="FF212529"/>
      <name val="Arial"/>
      <family val="2"/>
    </font>
    <font>
      <b/>
      <sz val="12"/>
      <color theme="1"/>
      <name val="Calibri"/>
      <family val="2"/>
      <scheme val="minor"/>
    </font>
    <font>
      <b/>
      <sz val="14"/>
      <color rgb="FF000000"/>
      <name val="Calibri"/>
      <family val="2"/>
    </font>
    <font>
      <sz val="11"/>
      <name val="Calibri"/>
      <family val="2"/>
    </font>
    <font>
      <b/>
      <sz val="11"/>
      <color rgb="FF000000"/>
      <name val="Calibri"/>
      <family val="2"/>
    </font>
    <font>
      <b/>
      <sz val="12"/>
      <color rgb="FF000000"/>
      <name val="Calibri"/>
      <family val="2"/>
    </font>
    <font>
      <b/>
      <sz val="16"/>
      <color rgb="FF000000"/>
      <name val="Calibri"/>
      <family val="2"/>
    </font>
    <font>
      <b/>
      <sz val="14"/>
      <name val="Tahoma"/>
      <family val="2"/>
    </font>
    <font>
      <sz val="10"/>
      <name val="Tahoma"/>
      <family val="2"/>
    </font>
    <font>
      <b/>
      <sz val="11"/>
      <name val="Tahoma"/>
      <family val="2"/>
    </font>
    <font>
      <sz val="14"/>
      <color theme="1"/>
      <name val="Calibri"/>
      <family val="2"/>
      <scheme val="minor"/>
    </font>
    <font>
      <b/>
      <i/>
      <sz val="10"/>
      <name val="Tahoma"/>
      <family val="2"/>
    </font>
    <font>
      <b/>
      <sz val="10"/>
      <name val="Tahoma"/>
      <family val="2"/>
    </font>
    <font>
      <sz val="16"/>
      <color theme="1"/>
      <name val="Calibri"/>
      <family val="2"/>
      <scheme val="minor"/>
    </font>
    <font>
      <sz val="16"/>
      <color rgb="FF000000"/>
      <name val="Calibri"/>
      <family val="2"/>
    </font>
    <font>
      <b/>
      <sz val="9"/>
      <color indexed="81"/>
      <name val="Tahoma"/>
      <family val="2"/>
    </font>
    <font>
      <sz val="9"/>
      <color indexed="81"/>
      <name val="Tahoma"/>
      <family val="2"/>
    </font>
    <font>
      <b/>
      <sz val="18"/>
      <color theme="1"/>
      <name val="Arial"/>
      <family val="2"/>
    </font>
    <font>
      <sz val="14"/>
      <color rgb="FF000000"/>
      <name val="Calibri"/>
      <family val="2"/>
    </font>
    <font>
      <b/>
      <sz val="14"/>
      <name val="Arial"/>
      <family val="2"/>
    </font>
    <font>
      <sz val="10"/>
      <name val="Arial"/>
      <family val="2"/>
    </font>
    <font>
      <b/>
      <sz val="12"/>
      <name val="Arial"/>
      <family val="2"/>
    </font>
    <font>
      <b/>
      <sz val="12"/>
      <color theme="1"/>
      <name val="Arial"/>
      <family val="2"/>
    </font>
    <font>
      <b/>
      <sz val="14"/>
      <color theme="1"/>
      <name val="Calibri"/>
      <family val="2"/>
      <scheme val="minor"/>
    </font>
    <font>
      <sz val="12"/>
      <color rgb="FF000000"/>
      <name val="Calibri"/>
      <family val="2"/>
    </font>
    <font>
      <sz val="11"/>
      <color rgb="FF000000"/>
      <name val="Calibri"/>
      <family val="2"/>
    </font>
    <font>
      <sz val="12"/>
      <color theme="1"/>
      <name val="Calibri"/>
      <family val="2"/>
      <scheme val="minor"/>
    </font>
    <font>
      <b/>
      <sz val="11"/>
      <color rgb="FF000000"/>
      <name val="Arial"/>
      <family val="2"/>
    </font>
    <font>
      <sz val="11"/>
      <color rgb="FF000000"/>
      <name val="Arial"/>
      <family val="2"/>
    </font>
    <font>
      <b/>
      <sz val="18"/>
      <color rgb="FF000000"/>
      <name val="Arial"/>
      <family val="2"/>
    </font>
    <font>
      <b/>
      <sz val="14"/>
      <color rgb="FF000000"/>
      <name val="Arial"/>
      <family val="2"/>
    </font>
    <font>
      <sz val="18"/>
      <color rgb="FF000000"/>
      <name val="Arial"/>
      <family val="2"/>
    </font>
    <font>
      <sz val="8"/>
      <color rgb="FF212529"/>
      <name val="FontAwesome"/>
    </font>
    <font>
      <b/>
      <sz val="8"/>
      <color rgb="FF333333"/>
      <name val="Arial"/>
      <family val="2"/>
    </font>
    <font>
      <sz val="10"/>
      <color rgb="FF000000"/>
      <name val="Arial"/>
      <family val="2"/>
    </font>
    <font>
      <sz val="10"/>
      <color rgb="FF333333"/>
      <name val="Arial"/>
      <family val="2"/>
    </font>
    <font>
      <sz val="8"/>
      <color rgb="FFFFFFFF"/>
      <name val="Arial"/>
      <family val="2"/>
    </font>
    <font>
      <sz val="10"/>
      <color rgb="FFFFFFFF"/>
      <name val="Arial"/>
      <family val="2"/>
    </font>
    <font>
      <sz val="10"/>
      <color theme="1"/>
      <name val="Calibri"/>
      <family val="2"/>
      <scheme val="minor"/>
    </font>
    <font>
      <u/>
      <sz val="11"/>
      <color theme="10"/>
      <name val="Calibri"/>
      <family val="2"/>
      <scheme val="minor"/>
    </font>
    <font>
      <b/>
      <sz val="10"/>
      <color rgb="FF333333"/>
      <name val="Arial"/>
      <family val="2"/>
    </font>
    <font>
      <b/>
      <i/>
      <sz val="8"/>
      <color rgb="FF333333"/>
      <name val="Arial"/>
      <family val="2"/>
    </font>
  </fonts>
  <fills count="31">
    <fill>
      <patternFill patternType="none"/>
    </fill>
    <fill>
      <patternFill patternType="gray125"/>
    </fill>
    <fill>
      <patternFill patternType="solid">
        <fgColor rgb="FF92D050"/>
        <bgColor indexed="64"/>
      </patternFill>
    </fill>
    <fill>
      <patternFill patternType="solid">
        <fgColor rgb="FFCCFFCC"/>
        <bgColor rgb="FFB2A1C7"/>
      </patternFill>
    </fill>
    <fill>
      <patternFill patternType="solid">
        <fgColor rgb="FFCCFFCC"/>
        <bgColor indexed="64"/>
      </patternFill>
    </fill>
    <fill>
      <patternFill patternType="solid">
        <fgColor theme="9" tint="0.39997558519241921"/>
        <bgColor rgb="FFC5D9F1"/>
      </patternFill>
    </fill>
    <fill>
      <patternFill patternType="solid">
        <fgColor theme="9" tint="0.39997558519241921"/>
        <bgColor indexed="64"/>
      </patternFill>
    </fill>
    <fill>
      <patternFill patternType="solid">
        <fgColor theme="4" tint="0.39997558519241921"/>
        <bgColor rgb="FFC5D9F1"/>
      </patternFill>
    </fill>
    <fill>
      <patternFill patternType="solid">
        <fgColor rgb="FFFFFF00"/>
        <bgColor indexed="64"/>
      </patternFill>
    </fill>
    <fill>
      <patternFill patternType="solid">
        <fgColor rgb="FFCCFFCC"/>
        <bgColor rgb="FF92D050"/>
      </patternFill>
    </fill>
    <fill>
      <patternFill patternType="solid">
        <fgColor theme="9" tint="0.39997558519241921"/>
        <bgColor rgb="FFB2A1C7"/>
      </patternFill>
    </fill>
    <fill>
      <patternFill patternType="solid">
        <fgColor rgb="FFCCFFCC"/>
        <bgColor rgb="FFC5D9F1"/>
      </patternFill>
    </fill>
    <fill>
      <patternFill patternType="solid">
        <fgColor rgb="FF92D050"/>
        <bgColor rgb="FF92D050"/>
      </patternFill>
    </fill>
    <fill>
      <patternFill patternType="solid">
        <fgColor theme="4" tint="0.39997558519241921"/>
        <bgColor indexed="64"/>
      </patternFill>
    </fill>
    <fill>
      <patternFill patternType="solid">
        <fgColor theme="4" tint="0.39997558519241921"/>
        <bgColor rgb="FF92D050"/>
      </patternFill>
    </fill>
    <fill>
      <patternFill patternType="solid">
        <fgColor rgb="FFFFFF00"/>
        <bgColor rgb="FFFFFF00"/>
      </patternFill>
    </fill>
    <fill>
      <patternFill patternType="solid">
        <fgColor theme="3" tint="0.7999816888943144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rgb="FFB2A1C7"/>
        <bgColor rgb="FFB2A1C7"/>
      </patternFill>
    </fill>
    <fill>
      <patternFill patternType="solid">
        <fgColor theme="3" tint="0.59999389629810485"/>
        <bgColor rgb="FF00B0F0"/>
      </patternFill>
    </fill>
    <fill>
      <patternFill patternType="solid">
        <fgColor rgb="FFFFFFFF"/>
        <bgColor rgb="FFFFFFFF"/>
      </patternFill>
    </fill>
    <fill>
      <patternFill patternType="solid">
        <fgColor rgb="FFFFFF00"/>
        <bgColor rgb="FF92D050"/>
      </patternFill>
    </fill>
    <fill>
      <patternFill patternType="solid">
        <fgColor rgb="FFFFC000"/>
        <bgColor indexed="64"/>
      </patternFill>
    </fill>
    <fill>
      <patternFill patternType="solid">
        <fgColor theme="5" tint="0.79998168889431442"/>
        <bgColor indexed="64"/>
      </patternFill>
    </fill>
    <fill>
      <patternFill patternType="solid">
        <fgColor rgb="FFC0C0C0"/>
        <bgColor indexed="64"/>
      </patternFill>
    </fill>
    <fill>
      <patternFill patternType="solid">
        <fgColor rgb="FFFF0000"/>
        <bgColor indexed="64"/>
      </patternFill>
    </fill>
  </fills>
  <borders count="102">
    <border>
      <left/>
      <right/>
      <top/>
      <bottom/>
      <diagonal/>
    </border>
    <border>
      <left/>
      <right/>
      <top/>
      <bottom style="medium">
        <color rgb="FF000000"/>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auto="1"/>
      </left>
      <right style="thin">
        <color auto="1"/>
      </right>
      <top style="double">
        <color rgb="FF000000"/>
      </top>
      <bottom style="thin">
        <color auto="1"/>
      </bottom>
      <diagonal/>
    </border>
    <border>
      <left style="thin">
        <color auto="1"/>
      </left>
      <right style="double">
        <color rgb="FF000000"/>
      </right>
      <top style="double">
        <color rgb="FF000000"/>
      </top>
      <bottom style="thin">
        <color auto="1"/>
      </bottom>
      <diagonal/>
    </border>
    <border>
      <left style="double">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double">
        <color rgb="FF000000"/>
      </right>
      <top style="double">
        <color rgb="FF000000"/>
      </top>
      <bottom/>
      <diagonal/>
    </border>
    <border>
      <left style="thin">
        <color auto="1"/>
      </left>
      <right style="thin">
        <color auto="1"/>
      </right>
      <top style="thin">
        <color auto="1"/>
      </top>
      <bottom style="thin">
        <color auto="1"/>
      </bottom>
      <diagonal/>
    </border>
    <border>
      <left style="thin">
        <color auto="1"/>
      </left>
      <right style="double">
        <color rgb="FF000000"/>
      </right>
      <top style="thin">
        <color auto="1"/>
      </top>
      <bottom style="thin">
        <color auto="1"/>
      </bottom>
      <diagonal/>
    </border>
    <border>
      <left style="double">
        <color rgb="FF000000"/>
      </left>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double">
        <color rgb="FF000000"/>
      </right>
      <top/>
      <bottom style="hair">
        <color rgb="FF000000"/>
      </bottom>
      <diagonal/>
    </border>
    <border>
      <left style="double">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double">
        <color rgb="FF000000"/>
      </right>
      <top style="hair">
        <color rgb="FF000000"/>
      </top>
      <bottom style="hair">
        <color rgb="FF000000"/>
      </bottom>
      <diagonal/>
    </border>
    <border>
      <left style="double">
        <color rgb="FF000000"/>
      </left>
      <right/>
      <top style="hair">
        <color rgb="FF000000"/>
      </top>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style="double">
        <color rgb="FF000000"/>
      </right>
      <top style="hair">
        <color rgb="FF000000"/>
      </top>
      <bottom/>
      <diagonal/>
    </border>
    <border>
      <left style="double">
        <color rgb="FF000000"/>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rgb="FF000000"/>
      </right>
      <top style="thin">
        <color auto="1"/>
      </top>
      <bottom style="double">
        <color auto="1"/>
      </bottom>
      <diagonal/>
    </border>
    <border>
      <left style="thin">
        <color rgb="FF000000"/>
      </left>
      <right style="thin">
        <color rgb="FF000000"/>
      </right>
      <top style="double">
        <color rgb="FF000000"/>
      </top>
      <bottom style="double">
        <color rgb="FF000000"/>
      </bottom>
      <diagonal/>
    </border>
    <border>
      <left style="double">
        <color rgb="FF000000"/>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rgb="FF000000"/>
      </right>
      <top style="double">
        <color auto="1"/>
      </top>
      <bottom style="double">
        <color auto="1"/>
      </bottom>
      <diagonal/>
    </border>
    <border>
      <left style="thin">
        <color rgb="FF000000"/>
      </left>
      <right style="thin">
        <color rgb="FF000000"/>
      </right>
      <top style="double">
        <color rgb="FF000000"/>
      </top>
      <bottom/>
      <diagonal/>
    </border>
    <border>
      <left/>
      <right style="double">
        <color rgb="FF000000"/>
      </right>
      <top/>
      <bottom/>
      <diagonal/>
    </border>
    <border>
      <left style="thin">
        <color rgb="FF000000"/>
      </left>
      <right style="thin">
        <color rgb="FF000000"/>
      </right>
      <top style="thin">
        <color rgb="FF000000"/>
      </top>
      <bottom/>
      <diagonal/>
    </border>
    <border>
      <left style="thin">
        <color rgb="FF000000"/>
      </left>
      <right style="double">
        <color rgb="FF000000"/>
      </right>
      <top/>
      <bottom/>
      <diagonal/>
    </border>
    <border>
      <left style="double">
        <color rgb="FF000000"/>
      </left>
      <right/>
      <top/>
      <bottom style="thin">
        <color auto="1"/>
      </bottom>
      <diagonal/>
    </border>
    <border>
      <left/>
      <right/>
      <top/>
      <bottom style="thin">
        <color auto="1"/>
      </bottom>
      <diagonal/>
    </border>
    <border>
      <left/>
      <right style="double">
        <color rgb="FF000000"/>
      </right>
      <top/>
      <bottom style="thin">
        <color auto="1"/>
      </bottom>
      <diagonal/>
    </border>
    <border>
      <left style="double">
        <color rgb="FF000000"/>
      </left>
      <right style="thin">
        <color rgb="FF000000"/>
      </right>
      <top style="hair">
        <color rgb="FF000000"/>
      </top>
      <bottom style="thin">
        <color auto="1"/>
      </bottom>
      <diagonal/>
    </border>
    <border>
      <left style="thin">
        <color rgb="FF000000"/>
      </left>
      <right style="thin">
        <color rgb="FF000000"/>
      </right>
      <top style="hair">
        <color rgb="FF000000"/>
      </top>
      <bottom style="thin">
        <color auto="1"/>
      </bottom>
      <diagonal/>
    </border>
    <border>
      <left style="thin">
        <color rgb="FF000000"/>
      </left>
      <right style="thin">
        <color rgb="FF000000"/>
      </right>
      <top/>
      <bottom style="thin">
        <color auto="1"/>
      </bottom>
      <diagonal/>
    </border>
    <border>
      <left style="thin">
        <color rgb="FF000000"/>
      </left>
      <right style="double">
        <color rgb="FF000000"/>
      </right>
      <top/>
      <bottom style="thin">
        <color auto="1"/>
      </bottom>
      <diagonal/>
    </border>
    <border>
      <left style="double">
        <color rgb="FF000000"/>
      </left>
      <right style="thin">
        <color rgb="FF000000"/>
      </right>
      <top/>
      <bottom/>
      <diagonal/>
    </border>
    <border>
      <left style="thin">
        <color auto="1"/>
      </left>
      <right style="thin">
        <color auto="1"/>
      </right>
      <top/>
      <bottom style="thin">
        <color auto="1"/>
      </bottom>
      <diagonal/>
    </border>
    <border>
      <left style="thin">
        <color auto="1"/>
      </left>
      <right style="double">
        <color rgb="FF000000"/>
      </right>
      <top/>
      <bottom style="thin">
        <color auto="1"/>
      </bottom>
      <diagonal/>
    </border>
    <border>
      <left style="thin">
        <color auto="1"/>
      </left>
      <right style="thin">
        <color auto="1"/>
      </right>
      <top style="thin">
        <color auto="1"/>
      </top>
      <bottom/>
      <diagonal/>
    </border>
    <border>
      <left style="thin">
        <color auto="1"/>
      </left>
      <right style="double">
        <color rgb="FF000000"/>
      </right>
      <top style="thin">
        <color auto="1"/>
      </top>
      <bottom/>
      <diagonal/>
    </border>
    <border>
      <left style="double">
        <color rgb="FF000000"/>
      </left>
      <right style="thin">
        <color rgb="FF000000"/>
      </right>
      <top/>
      <bottom style="double">
        <color auto="1"/>
      </bottom>
      <diagonal/>
    </border>
    <border>
      <left style="thin">
        <color rgb="FF000000"/>
      </left>
      <right/>
      <top style="double">
        <color rgb="FF000000"/>
      </top>
      <bottom style="double">
        <color auto="1"/>
      </bottom>
      <diagonal/>
    </border>
    <border>
      <left style="thin">
        <color rgb="FF000000"/>
      </left>
      <right style="thin">
        <color rgb="FF000000"/>
      </right>
      <top style="double">
        <color rgb="FF000000"/>
      </top>
      <bottom style="double">
        <color auto="1"/>
      </bottom>
      <diagonal/>
    </border>
    <border>
      <left style="thin">
        <color rgb="FF000000"/>
      </left>
      <right style="double">
        <color rgb="FF000000"/>
      </right>
      <top style="double">
        <color rgb="FF000000"/>
      </top>
      <bottom style="double">
        <color auto="1"/>
      </bottom>
      <diagonal/>
    </border>
    <border>
      <left style="thin">
        <color auto="1"/>
      </left>
      <right style="thin">
        <color auto="1"/>
      </right>
      <top style="double">
        <color rgb="FF000000"/>
      </top>
      <bottom style="double">
        <color auto="1"/>
      </bottom>
      <diagonal/>
    </border>
    <border>
      <left style="thin">
        <color auto="1"/>
      </left>
      <right style="double">
        <color rgb="FF000000"/>
      </right>
      <top style="double">
        <color rgb="FF000000"/>
      </top>
      <bottom style="double">
        <color auto="1"/>
      </bottom>
      <diagonal/>
    </border>
    <border>
      <left/>
      <right/>
      <top style="double">
        <color rgb="FF000000"/>
      </top>
      <bottom style="double">
        <color auto="1"/>
      </bottom>
      <diagonal/>
    </border>
    <border>
      <left style="double">
        <color rgb="FF000000"/>
      </left>
      <right style="thin">
        <color rgb="FF000000"/>
      </right>
      <top style="double">
        <color auto="1"/>
      </top>
      <bottom/>
      <diagonal/>
    </border>
    <border>
      <left style="double">
        <color rgb="FF000000"/>
      </left>
      <right/>
      <top/>
      <bottom style="double">
        <color rgb="FF000000"/>
      </bottom>
      <diagonal/>
    </border>
    <border>
      <left style="thin">
        <color rgb="FF000000"/>
      </left>
      <right style="double">
        <color rgb="FF000000"/>
      </right>
      <top style="double">
        <color rgb="FF000000"/>
      </top>
      <bottom style="double">
        <color rgb="FF000000"/>
      </bottom>
      <diagonal/>
    </border>
    <border>
      <left style="thin">
        <color auto="1"/>
      </left>
      <right style="thin">
        <color auto="1"/>
      </right>
      <top style="double">
        <color rgb="FF000000"/>
      </top>
      <bottom style="double">
        <color rgb="FF000000"/>
      </bottom>
      <diagonal/>
    </border>
    <border>
      <left style="thin">
        <color auto="1"/>
      </left>
      <right style="double">
        <color rgb="FF000000"/>
      </right>
      <top style="double">
        <color rgb="FF000000"/>
      </top>
      <bottom style="double">
        <color rgb="FF000000"/>
      </bottom>
      <diagonal/>
    </border>
    <border>
      <left style="double">
        <color rgb="FF000000"/>
      </left>
      <right style="thin">
        <color rgb="FF000000"/>
      </right>
      <top style="hair">
        <color rgb="FF000000"/>
      </top>
      <bottom/>
      <diagonal/>
    </border>
    <border>
      <left style="double">
        <color rgb="FF000000"/>
      </left>
      <right style="double">
        <color rgb="FF000000"/>
      </right>
      <top/>
      <bottom style="double">
        <color rgb="FF000000"/>
      </bottom>
      <diagonal/>
    </border>
    <border>
      <left style="double">
        <color rgb="FF000000"/>
      </left>
      <right style="double">
        <color rgb="FF000000"/>
      </right>
      <top style="double">
        <color rgb="FF000000"/>
      </top>
      <bottom style="double">
        <color rgb="FF000000"/>
      </bottom>
      <diagonal/>
    </border>
    <border>
      <left/>
      <right style="thin">
        <color rgb="FF000000"/>
      </right>
      <top style="double">
        <color rgb="FF000000"/>
      </top>
      <bottom style="double">
        <color rgb="FF000000"/>
      </bottom>
      <diagonal/>
    </border>
    <border>
      <left style="double">
        <color rgb="FF000000"/>
      </left>
      <right style="thin">
        <color rgb="FF000000"/>
      </right>
      <top style="double">
        <color rgb="FF000000"/>
      </top>
      <bottom/>
      <diagonal/>
    </border>
    <border>
      <left style="thin">
        <color rgb="FF000000"/>
      </left>
      <right/>
      <top style="double">
        <color rgb="FF000000"/>
      </top>
      <bottom style="double">
        <color rgb="FF000000"/>
      </bottom>
      <diagonal/>
    </border>
    <border>
      <left style="thin">
        <color rgb="FF000000"/>
      </left>
      <right/>
      <top/>
      <bottom/>
      <diagonal/>
    </border>
    <border>
      <left style="thin">
        <color auto="1"/>
      </left>
      <right style="thin">
        <color auto="1"/>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thin">
        <color rgb="FF000000"/>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hair">
        <color rgb="FF000000"/>
      </top>
      <bottom style="hair">
        <color rgb="FF000000"/>
      </bottom>
      <diagonal/>
    </border>
    <border>
      <left style="double">
        <color rgb="FF000000"/>
      </left>
      <right style="thin">
        <color rgb="FF000000"/>
      </right>
      <top/>
      <bottom style="hair">
        <color rgb="FF000000"/>
      </bottom>
      <diagonal/>
    </border>
    <border>
      <left style="double">
        <color rgb="FF000000"/>
      </left>
      <right style="thin">
        <color rgb="FF000000"/>
      </right>
      <top style="hair">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style="double">
        <color rgb="FF000000"/>
      </right>
      <top style="hair">
        <color rgb="FF000000"/>
      </top>
      <bottom style="double">
        <color rgb="FF000000"/>
      </bottom>
      <diagonal/>
    </border>
    <border>
      <left style="double">
        <color rgb="FF000000"/>
      </left>
      <right/>
      <top style="double">
        <color rgb="FF000000"/>
      </top>
      <bottom style="thin">
        <color rgb="FF000000"/>
      </bottom>
      <diagonal/>
    </border>
    <border>
      <left/>
      <right style="double">
        <color rgb="FF000000"/>
      </right>
      <top style="double">
        <color rgb="FF000000"/>
      </top>
      <bottom style="thin">
        <color rgb="FF000000"/>
      </bottom>
      <diagonal/>
    </border>
    <border>
      <left style="thin">
        <color auto="1"/>
      </left>
      <right/>
      <top/>
      <bottom/>
      <diagonal/>
    </border>
    <border>
      <left/>
      <right style="thin">
        <color rgb="FF000000"/>
      </right>
      <top style="double">
        <color rgb="FF000000"/>
      </top>
      <bottom/>
      <diagonal/>
    </border>
    <border>
      <left style="thin">
        <color auto="1"/>
      </left>
      <right style="thin">
        <color rgb="FF000000"/>
      </right>
      <top/>
      <bottom style="thin">
        <color auto="1"/>
      </bottom>
      <diagonal/>
    </border>
    <border>
      <left style="thin">
        <color auto="1"/>
      </left>
      <right style="thin">
        <color auto="1"/>
      </right>
      <top/>
      <bottom style="double">
        <color auto="1"/>
      </bottom>
      <diagonal/>
    </border>
    <border>
      <left style="thin">
        <color auto="1"/>
      </left>
      <right style="thin">
        <color auto="1"/>
      </right>
      <top style="double">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rgb="FF000000"/>
      </right>
      <top/>
      <bottom style="thin">
        <color auto="1"/>
      </bottom>
      <diagonal/>
    </border>
    <border>
      <left style="thin">
        <color auto="1"/>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4A4A4A"/>
      </left>
      <right/>
      <top/>
      <bottom/>
      <diagonal/>
    </border>
  </borders>
  <cellStyleXfs count="2">
    <xf numFmtId="0" fontId="0" fillId="0" borderId="0"/>
    <xf numFmtId="0" fontId="45" fillId="0" borderId="0" applyNumberFormat="0" applyFill="0" applyBorder="0" applyAlignment="0" applyProtection="0"/>
  </cellStyleXfs>
  <cellXfs count="347">
    <xf numFmtId="0" fontId="0" fillId="0" borderId="0" xfId="0"/>
    <xf numFmtId="6" fontId="0" fillId="0" borderId="0" xfId="0" applyNumberFormat="1"/>
    <xf numFmtId="0" fontId="0" fillId="0" borderId="0" xfId="0" applyAlignment="1">
      <alignment horizontal="center"/>
    </xf>
    <xf numFmtId="0" fontId="1" fillId="0" borderId="0" xfId="0" applyFont="1" applyAlignment="1">
      <alignment horizontal="center"/>
    </xf>
    <xf numFmtId="0" fontId="7" fillId="0" borderId="0" xfId="0" applyFont="1" applyAlignment="1">
      <alignment horizontal="center"/>
    </xf>
    <xf numFmtId="0" fontId="1" fillId="0" borderId="0" xfId="0" applyFont="1" applyAlignment="1">
      <alignment horizontal="center"/>
    </xf>
    <xf numFmtId="0" fontId="0" fillId="0" borderId="0" xfId="0" applyAlignment="1">
      <alignment wrapText="1"/>
    </xf>
    <xf numFmtId="0" fontId="8" fillId="0" borderId="0" xfId="0" applyFont="1"/>
    <xf numFmtId="0" fontId="8" fillId="2" borderId="0" xfId="0" applyFont="1" applyFill="1"/>
    <xf numFmtId="0" fontId="0" fillId="2" borderId="0" xfId="0" applyFill="1"/>
    <xf numFmtId="0" fontId="8" fillId="3" borderId="2" xfId="0" applyFont="1" applyFill="1" applyBorder="1" applyAlignment="1">
      <alignment horizontal="center"/>
    </xf>
    <xf numFmtId="0" fontId="9" fillId="4" borderId="3" xfId="0" applyFont="1" applyFill="1" applyBorder="1"/>
    <xf numFmtId="0" fontId="9" fillId="4" borderId="4"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5" borderId="7" xfId="0" applyFont="1" applyFill="1" applyBorder="1" applyAlignment="1">
      <alignment horizontal="center" vertical="center"/>
    </xf>
    <xf numFmtId="0" fontId="9" fillId="6" borderId="8" xfId="0" applyFont="1" applyFill="1" applyBorder="1"/>
    <xf numFmtId="0" fontId="8" fillId="5" borderId="9" xfId="0" applyFont="1" applyFill="1" applyBorder="1" applyAlignment="1">
      <alignment horizontal="center" vertical="center"/>
    </xf>
    <xf numFmtId="0" fontId="8" fillId="5" borderId="10" xfId="0" applyFont="1" applyFill="1" applyBorder="1" applyAlignment="1">
      <alignment horizontal="center"/>
    </xf>
    <xf numFmtId="0" fontId="9" fillId="6" borderId="11" xfId="0" applyFont="1" applyFill="1" applyBorder="1"/>
    <xf numFmtId="0" fontId="9" fillId="6" borderId="12" xfId="0" applyFont="1" applyFill="1" applyBorder="1"/>
    <xf numFmtId="0" fontId="8" fillId="5"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9" fillId="6" borderId="16" xfId="0" applyFont="1" applyFill="1" applyBorder="1"/>
    <xf numFmtId="0" fontId="9" fillId="6" borderId="17" xfId="0" applyFont="1" applyFill="1" applyBorder="1"/>
    <xf numFmtId="0" fontId="9" fillId="6" borderId="18" xfId="0" applyFont="1" applyFill="1" applyBorder="1"/>
    <xf numFmtId="0" fontId="11" fillId="5" borderId="18" xfId="0" applyFont="1" applyFill="1" applyBorder="1" applyAlignment="1">
      <alignment horizontal="center" vertical="center" wrapText="1"/>
    </xf>
    <xf numFmtId="0" fontId="9" fillId="6" borderId="19" xfId="0" applyFont="1" applyFill="1" applyBorder="1"/>
    <xf numFmtId="0" fontId="0" fillId="0" borderId="20" xfId="0" applyBorder="1" applyAlignment="1">
      <alignment horizontal="right"/>
    </xf>
    <xf numFmtId="0" fontId="9" fillId="0" borderId="21" xfId="0" applyFont="1" applyBorder="1"/>
    <xf numFmtId="0" fontId="0" fillId="0" borderId="22" xfId="0" applyBorder="1" applyAlignment="1">
      <alignment horizontal="right"/>
    </xf>
    <xf numFmtId="0" fontId="0" fillId="0" borderId="22" xfId="0" applyBorder="1"/>
    <xf numFmtId="0" fontId="0" fillId="7" borderId="23" xfId="0" applyFill="1" applyBorder="1" applyAlignment="1">
      <alignment horizontal="center"/>
    </xf>
    <xf numFmtId="0" fontId="0" fillId="0" borderId="14" xfId="0" applyBorder="1"/>
    <xf numFmtId="0" fontId="0" fillId="0" borderId="15" xfId="0" applyBorder="1"/>
    <xf numFmtId="0" fontId="0" fillId="0" borderId="24" xfId="0" applyBorder="1" applyAlignment="1">
      <alignment horizontal="right"/>
    </xf>
    <xf numFmtId="0" fontId="9" fillId="8" borderId="25" xfId="0" applyFont="1" applyFill="1" applyBorder="1" applyAlignment="1">
      <alignment horizontal="right"/>
    </xf>
    <xf numFmtId="0" fontId="0" fillId="0" borderId="26" xfId="0" applyBorder="1" applyAlignment="1">
      <alignment horizontal="right"/>
    </xf>
    <xf numFmtId="0" fontId="0" fillId="0" borderId="26" xfId="0" applyBorder="1"/>
    <xf numFmtId="0" fontId="0" fillId="7" borderId="27" xfId="0" applyFill="1" applyBorder="1" applyAlignment="1">
      <alignment horizontal="center"/>
    </xf>
    <xf numFmtId="0" fontId="0" fillId="0" borderId="24" xfId="0" applyBorder="1" applyAlignment="1">
      <alignment horizontal="right"/>
    </xf>
    <xf numFmtId="0" fontId="9" fillId="0" borderId="25" xfId="0" applyFont="1" applyBorder="1"/>
    <xf numFmtId="0" fontId="0" fillId="0" borderId="28" xfId="0" applyBorder="1"/>
    <xf numFmtId="0" fontId="0" fillId="0" borderId="29" xfId="0" applyBorder="1"/>
    <xf numFmtId="0" fontId="0" fillId="0" borderId="30" xfId="0" applyBorder="1"/>
    <xf numFmtId="0" fontId="8" fillId="9" borderId="2" xfId="0" applyFont="1" applyFill="1" applyBorder="1" applyAlignment="1">
      <alignment horizontal="right"/>
    </xf>
    <xf numFmtId="0" fontId="0" fillId="9" borderId="31" xfId="0" applyFill="1" applyBorder="1"/>
    <xf numFmtId="0" fontId="0" fillId="7" borderId="4" xfId="0" applyFill="1" applyBorder="1" applyAlignment="1">
      <alignment horizontal="center"/>
    </xf>
    <xf numFmtId="0" fontId="0" fillId="4" borderId="32" xfId="0" applyFill="1" applyBorder="1"/>
    <xf numFmtId="0" fontId="0" fillId="4" borderId="33" xfId="0" applyFill="1" applyBorder="1"/>
    <xf numFmtId="0" fontId="0" fillId="4" borderId="34" xfId="0" applyFill="1" applyBorder="1"/>
    <xf numFmtId="0" fontId="12" fillId="5" borderId="7" xfId="0" applyFont="1" applyFill="1" applyBorder="1" applyAlignment="1">
      <alignment horizontal="center" vertical="center"/>
    </xf>
    <xf numFmtId="0" fontId="8" fillId="5" borderId="35" xfId="0" applyFont="1" applyFill="1" applyBorder="1" applyAlignment="1">
      <alignment horizontal="center" vertical="center"/>
    </xf>
    <xf numFmtId="0" fontId="12" fillId="5" borderId="10" xfId="0" applyFont="1" applyFill="1" applyBorder="1" applyAlignment="1">
      <alignment horizontal="center"/>
    </xf>
    <xf numFmtId="0" fontId="8" fillId="7" borderId="13"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36" xfId="0" applyFont="1" applyFill="1" applyBorder="1" applyAlignment="1">
      <alignment horizontal="center" vertical="center" wrapText="1"/>
    </xf>
    <xf numFmtId="0" fontId="11" fillId="5" borderId="37" xfId="0" applyFont="1" applyFill="1" applyBorder="1" applyAlignment="1">
      <alignment horizontal="center" vertical="center" wrapText="1"/>
    </xf>
    <xf numFmtId="0" fontId="8" fillId="7" borderId="38"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10" borderId="42" xfId="0" applyFont="1" applyFill="1" applyBorder="1" applyAlignment="1">
      <alignment horizontal="center" vertical="center"/>
    </xf>
    <xf numFmtId="0" fontId="8" fillId="10" borderId="43" xfId="0" applyFont="1" applyFill="1" applyBorder="1" applyAlignment="1">
      <alignment horizontal="center" vertical="center"/>
    </xf>
    <xf numFmtId="0" fontId="8" fillId="5" borderId="44" xfId="0" applyFont="1" applyFill="1" applyBorder="1" applyAlignment="1">
      <alignment horizontal="center" vertical="center"/>
    </xf>
    <xf numFmtId="0" fontId="11" fillId="5" borderId="44" xfId="0" applyFont="1" applyFill="1" applyBorder="1" applyAlignment="1">
      <alignment horizontal="center" vertical="center" wrapText="1"/>
    </xf>
    <xf numFmtId="0" fontId="8" fillId="7" borderId="45"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3" fillId="11" borderId="46" xfId="0" applyFont="1" applyFill="1" applyBorder="1" applyAlignment="1">
      <alignment horizontal="center" vertical="center" textRotation="90" wrapText="1"/>
    </xf>
    <xf numFmtId="0" fontId="14" fillId="0" borderId="18" xfId="0" applyFont="1" applyBorder="1" applyAlignment="1">
      <alignment vertical="center" wrapText="1"/>
    </xf>
    <xf numFmtId="0" fontId="0" fillId="0" borderId="18" xfId="0" applyBorder="1"/>
    <xf numFmtId="0" fontId="0" fillId="7" borderId="19" xfId="0" applyFill="1" applyBorder="1"/>
    <xf numFmtId="0" fontId="0" fillId="0" borderId="47" xfId="0" applyBorder="1"/>
    <xf numFmtId="0" fontId="0" fillId="0" borderId="48" xfId="0" applyBorder="1"/>
    <xf numFmtId="0" fontId="14" fillId="0" borderId="22" xfId="0" applyFont="1" applyBorder="1" applyAlignment="1">
      <alignment vertical="center" wrapText="1"/>
    </xf>
    <xf numFmtId="0" fontId="0" fillId="7" borderId="23" xfId="0" applyFill="1" applyBorder="1"/>
    <xf numFmtId="0" fontId="14" fillId="0" borderId="26" xfId="0" applyFont="1" applyBorder="1" applyAlignment="1">
      <alignment vertical="center" wrapText="1"/>
    </xf>
    <xf numFmtId="0" fontId="0" fillId="7" borderId="27" xfId="0" applyFill="1" applyBorder="1"/>
    <xf numFmtId="0" fontId="0" fillId="0" borderId="49" xfId="0" applyBorder="1"/>
    <xf numFmtId="0" fontId="0" fillId="0" borderId="50" xfId="0" applyBorder="1"/>
    <xf numFmtId="0" fontId="13" fillId="11" borderId="51" xfId="0" applyFont="1" applyFill="1" applyBorder="1" applyAlignment="1">
      <alignment vertical="center" textRotation="90" wrapText="1"/>
    </xf>
    <xf numFmtId="0" fontId="15" fillId="9" borderId="52" xfId="0" applyFont="1" applyFill="1" applyBorder="1" applyAlignment="1">
      <alignment horizontal="right" vertical="center" wrapText="1"/>
    </xf>
    <xf numFmtId="0" fontId="0" fillId="9" borderId="53" xfId="0" applyFill="1" applyBorder="1"/>
    <xf numFmtId="0" fontId="0" fillId="7" borderId="54" xfId="0" applyFill="1" applyBorder="1"/>
    <xf numFmtId="0" fontId="0" fillId="4" borderId="55" xfId="0" applyFill="1" applyBorder="1"/>
    <xf numFmtId="0" fontId="0" fillId="4" borderId="56" xfId="0" applyFill="1" applyBorder="1"/>
    <xf numFmtId="0" fontId="0" fillId="4" borderId="57" xfId="0" applyFill="1" applyBorder="1"/>
    <xf numFmtId="0" fontId="13" fillId="11" borderId="58" xfId="0" applyFont="1" applyFill="1" applyBorder="1" applyAlignment="1">
      <alignment horizontal="center" vertical="center" textRotation="90" wrapText="1"/>
    </xf>
    <xf numFmtId="0" fontId="0" fillId="0" borderId="26" xfId="0" applyBorder="1" applyAlignment="1">
      <alignment horizontal="right" vertical="center" wrapText="1"/>
    </xf>
    <xf numFmtId="0" fontId="16" fillId="4" borderId="59" xfId="0" applyFont="1" applyFill="1" applyBorder="1" applyAlignment="1">
      <alignment textRotation="90"/>
    </xf>
    <xf numFmtId="0" fontId="15" fillId="12" borderId="2" xfId="0" applyFont="1" applyFill="1" applyBorder="1" applyAlignment="1">
      <alignment horizontal="right" vertical="center" wrapText="1"/>
    </xf>
    <xf numFmtId="0" fontId="0" fillId="12" borderId="31" xfId="0" applyFill="1" applyBorder="1"/>
    <xf numFmtId="0" fontId="0" fillId="7" borderId="60" xfId="0" applyFill="1" applyBorder="1"/>
    <xf numFmtId="0" fontId="0" fillId="4" borderId="61" xfId="0" applyFill="1" applyBorder="1"/>
    <xf numFmtId="0" fontId="0" fillId="4" borderId="62" xfId="0" applyFill="1" applyBorder="1"/>
    <xf numFmtId="0" fontId="0" fillId="0" borderId="3" xfId="0" applyBorder="1"/>
    <xf numFmtId="0" fontId="13" fillId="11" borderId="63" xfId="0" applyFont="1" applyFill="1" applyBorder="1" applyAlignment="1">
      <alignment horizontal="center" vertical="center" textRotation="90" wrapText="1"/>
    </xf>
    <xf numFmtId="0" fontId="16" fillId="4" borderId="64" xfId="0" applyFont="1" applyFill="1" applyBorder="1" applyAlignment="1">
      <alignment textRotation="90"/>
    </xf>
    <xf numFmtId="0" fontId="0" fillId="12" borderId="65" xfId="0" applyFill="1" applyBorder="1"/>
    <xf numFmtId="0" fontId="0" fillId="12" borderId="66" xfId="0" applyFill="1" applyBorder="1"/>
    <xf numFmtId="0" fontId="13" fillId="11" borderId="46" xfId="0" applyFont="1" applyFill="1" applyBorder="1" applyAlignment="1">
      <alignment horizontal="center" vertical="center" textRotation="90"/>
    </xf>
    <xf numFmtId="0" fontId="14" fillId="0" borderId="18" xfId="0" applyFont="1" applyBorder="1" applyAlignment="1">
      <alignment vertical="center"/>
    </xf>
    <xf numFmtId="0" fontId="14" fillId="0" borderId="22" xfId="0" applyFont="1" applyBorder="1" applyAlignment="1">
      <alignment vertical="center"/>
    </xf>
    <xf numFmtId="0" fontId="14" fillId="0" borderId="22" xfId="0" applyFont="1" applyBorder="1" applyAlignment="1">
      <alignment horizontal="left" wrapText="1"/>
    </xf>
    <xf numFmtId="0" fontId="0" fillId="0" borderId="61" xfId="0" applyBorder="1"/>
    <xf numFmtId="0" fontId="0" fillId="0" borderId="62" xfId="0" applyBorder="1"/>
    <xf numFmtId="0" fontId="17" fillId="0" borderId="22" xfId="0" applyFont="1" applyBorder="1" applyAlignment="1">
      <alignment vertical="center" wrapText="1"/>
    </xf>
    <xf numFmtId="0" fontId="15" fillId="9" borderId="2" xfId="0" applyFont="1" applyFill="1" applyBorder="1" applyAlignment="1">
      <alignment horizontal="right" vertical="center" wrapText="1"/>
    </xf>
    <xf numFmtId="0" fontId="14" fillId="0" borderId="22" xfId="0" applyFont="1" applyBorder="1"/>
    <xf numFmtId="0" fontId="18" fillId="0" borderId="22" xfId="0" applyFont="1" applyBorder="1" applyAlignment="1">
      <alignment vertical="center" wrapText="1"/>
    </xf>
    <xf numFmtId="0" fontId="13" fillId="11" borderId="67" xfId="0" applyFont="1" applyFill="1" applyBorder="1" applyAlignment="1">
      <alignment horizontal="center" vertical="center" textRotation="90" wrapText="1"/>
    </xf>
    <xf numFmtId="0" fontId="13" fillId="11" borderId="51" xfId="0" applyFont="1" applyFill="1" applyBorder="1" applyAlignment="1">
      <alignment horizontal="center" vertical="center" textRotation="90" wrapText="1"/>
    </xf>
    <xf numFmtId="0" fontId="15" fillId="12" borderId="68" xfId="0" applyFont="1" applyFill="1" applyBorder="1" applyAlignment="1">
      <alignment horizontal="right" vertical="center" wrapText="1"/>
    </xf>
    <xf numFmtId="0" fontId="0" fillId="12" borderId="22" xfId="0" applyFill="1" applyBorder="1"/>
    <xf numFmtId="0" fontId="13" fillId="11" borderId="7" xfId="0" applyFont="1" applyFill="1" applyBorder="1" applyAlignment="1">
      <alignment vertical="top" textRotation="90" wrapText="1"/>
    </xf>
    <xf numFmtId="0" fontId="13" fillId="11" borderId="51" xfId="0" applyFont="1" applyFill="1" applyBorder="1" applyAlignment="1">
      <alignment vertical="top" textRotation="90" wrapText="1"/>
    </xf>
    <xf numFmtId="0" fontId="0" fillId="12" borderId="3" xfId="0" applyFill="1" applyBorder="1"/>
    <xf numFmtId="0" fontId="15" fillId="0" borderId="69" xfId="0" applyFont="1" applyBorder="1" applyAlignment="1">
      <alignment horizontal="right" vertical="center" wrapText="1"/>
    </xf>
    <xf numFmtId="0" fontId="0" fillId="0" borderId="9" xfId="0" applyBorder="1"/>
    <xf numFmtId="0" fontId="0" fillId="7" borderId="38" xfId="0" applyFill="1" applyBorder="1"/>
    <xf numFmtId="0" fontId="13" fillId="11" borderId="59" xfId="0" applyFont="1" applyFill="1" applyBorder="1" applyAlignment="1">
      <alignment vertical="top" textRotation="90" wrapText="1"/>
    </xf>
    <xf numFmtId="0" fontId="0" fillId="13" borderId="60" xfId="0" applyFill="1" applyBorder="1"/>
    <xf numFmtId="0" fontId="8" fillId="9" borderId="2" xfId="0" applyFont="1" applyFill="1" applyBorder="1" applyAlignment="1">
      <alignment textRotation="90" wrapText="1"/>
    </xf>
    <xf numFmtId="0" fontId="0" fillId="9" borderId="3" xfId="0" applyFill="1" applyBorder="1"/>
    <xf numFmtId="0" fontId="0" fillId="14" borderId="4" xfId="0" applyFill="1" applyBorder="1"/>
    <xf numFmtId="0" fontId="0" fillId="0" borderId="46" xfId="0" applyBorder="1"/>
    <xf numFmtId="0" fontId="0" fillId="0" borderId="38" xfId="0" applyBorder="1"/>
    <xf numFmtId="0" fontId="0" fillId="0" borderId="70" xfId="0" applyBorder="1"/>
    <xf numFmtId="0" fontId="8" fillId="15" borderId="68" xfId="0" applyFont="1" applyFill="1" applyBorder="1"/>
    <xf numFmtId="0" fontId="0" fillId="15" borderId="71" xfId="0" applyFill="1" applyBorder="1"/>
    <xf numFmtId="0" fontId="0" fillId="15" borderId="72" xfId="0" applyFill="1" applyBorder="1"/>
    <xf numFmtId="0" fontId="0" fillId="15" borderId="73" xfId="0" applyFill="1" applyBorder="1"/>
    <xf numFmtId="0" fontId="0" fillId="8" borderId="33" xfId="0" applyFill="1" applyBorder="1"/>
    <xf numFmtId="0" fontId="0" fillId="8" borderId="74" xfId="0" applyFill="1" applyBorder="1"/>
    <xf numFmtId="0" fontId="0" fillId="8" borderId="0" xfId="0" applyFill="1"/>
    <xf numFmtId="0" fontId="19" fillId="4" borderId="0" xfId="0" applyFont="1" applyFill="1" applyAlignment="1">
      <alignment horizontal="center" vertical="center" wrapText="1"/>
    </xf>
    <xf numFmtId="0" fontId="19" fillId="4" borderId="0" xfId="0" applyFont="1" applyFill="1" applyAlignment="1">
      <alignment wrapText="1"/>
    </xf>
    <xf numFmtId="0" fontId="0" fillId="8" borderId="0" xfId="0" applyFill="1" applyAlignment="1">
      <alignment horizontal="center" vertical="center"/>
    </xf>
    <xf numFmtId="10" fontId="0" fillId="16" borderId="0" xfId="0" applyNumberFormat="1" applyFill="1" applyAlignment="1">
      <alignment horizontal="center"/>
    </xf>
    <xf numFmtId="10" fontId="0" fillId="17" borderId="0" xfId="0" applyNumberFormat="1" applyFill="1"/>
    <xf numFmtId="10" fontId="0" fillId="18" borderId="0" xfId="0" applyNumberFormat="1" applyFill="1"/>
    <xf numFmtId="10" fontId="0" fillId="19" borderId="0" xfId="0" applyNumberFormat="1" applyFill="1" applyAlignment="1">
      <alignment horizontal="center"/>
    </xf>
    <xf numFmtId="10" fontId="0" fillId="20" borderId="0" xfId="0" applyNumberFormat="1" applyFill="1"/>
    <xf numFmtId="10" fontId="0" fillId="0" borderId="0" xfId="0" applyNumberFormat="1"/>
    <xf numFmtId="0" fontId="0" fillId="4" borderId="0" xfId="0" applyFill="1"/>
    <xf numFmtId="10" fontId="0" fillId="4" borderId="0" xfId="0" applyNumberFormat="1" applyFill="1"/>
    <xf numFmtId="0" fontId="12" fillId="21" borderId="14" xfId="0" applyFont="1" applyFill="1" applyBorder="1" applyAlignment="1">
      <alignment horizontal="center"/>
    </xf>
    <xf numFmtId="0" fontId="20" fillId="21" borderId="14" xfId="0" applyFont="1" applyFill="1" applyBorder="1"/>
    <xf numFmtId="0" fontId="12" fillId="0" borderId="14" xfId="0" applyFont="1" applyBorder="1" applyAlignment="1">
      <alignment horizontal="center" vertical="center"/>
    </xf>
    <xf numFmtId="0" fontId="11" fillId="0" borderId="14" xfId="0" applyFont="1" applyBorder="1" applyAlignment="1">
      <alignment vertical="center" wrapText="1"/>
    </xf>
    <xf numFmtId="0" fontId="11" fillId="0" borderId="14" xfId="0" applyFont="1" applyBorder="1" applyAlignment="1">
      <alignment horizontal="center" vertical="center" wrapText="1"/>
    </xf>
    <xf numFmtId="0" fontId="11" fillId="21" borderId="0" xfId="0" applyFont="1" applyFill="1" applyAlignment="1">
      <alignment vertical="center" wrapText="1"/>
    </xf>
    <xf numFmtId="0" fontId="0" fillId="0" borderId="14" xfId="0" applyBorder="1" applyAlignment="1">
      <alignment wrapText="1"/>
    </xf>
    <xf numFmtId="0" fontId="11" fillId="0" borderId="14" xfId="0" applyFont="1" applyBorder="1" applyAlignment="1">
      <alignment wrapText="1"/>
    </xf>
    <xf numFmtId="0" fontId="11" fillId="0" borderId="14" xfId="0" applyFont="1" applyBorder="1"/>
    <xf numFmtId="0" fontId="8" fillId="0" borderId="2" xfId="0" applyFont="1" applyBorder="1" applyAlignment="1">
      <alignment horizontal="center"/>
    </xf>
    <xf numFmtId="0" fontId="9" fillId="0" borderId="3" xfId="0" applyFont="1" applyBorder="1"/>
    <xf numFmtId="0" fontId="9" fillId="0" borderId="4" xfId="0" applyFont="1" applyBorder="1"/>
    <xf numFmtId="0" fontId="11" fillId="0" borderId="75" xfId="0" applyFont="1" applyBorder="1" applyAlignment="1">
      <alignment horizontal="center" vertical="center"/>
    </xf>
    <xf numFmtId="0" fontId="11" fillId="0" borderId="35" xfId="0" applyFont="1" applyBorder="1" applyAlignment="1">
      <alignment wrapText="1"/>
    </xf>
    <xf numFmtId="0" fontId="11" fillId="0" borderId="35" xfId="0" applyFont="1" applyBorder="1" applyAlignment="1">
      <alignment horizontal="center" vertical="center"/>
    </xf>
    <xf numFmtId="0" fontId="11" fillId="0" borderId="76" xfId="0" applyFont="1" applyBorder="1" applyAlignment="1">
      <alignment horizontal="center" vertical="center" wrapText="1"/>
    </xf>
    <xf numFmtId="0" fontId="11" fillId="0" borderId="77" xfId="0" applyFont="1" applyBorder="1" applyAlignment="1">
      <alignment horizontal="center" vertical="center" wrapText="1"/>
    </xf>
    <xf numFmtId="0" fontId="0" fillId="0" borderId="78" xfId="0" applyBorder="1"/>
    <xf numFmtId="0" fontId="0" fillId="0" borderId="37" xfId="0" applyBorder="1"/>
    <xf numFmtId="0" fontId="0" fillId="0" borderId="19" xfId="0" applyBorder="1"/>
    <xf numFmtId="9" fontId="0" fillId="0" borderId="22" xfId="0" applyNumberFormat="1" applyBorder="1"/>
    <xf numFmtId="1" fontId="0" fillId="0" borderId="22" xfId="0" applyNumberFormat="1" applyBorder="1"/>
    <xf numFmtId="1" fontId="0" fillId="0" borderId="23" xfId="0" applyNumberFormat="1" applyBorder="1"/>
    <xf numFmtId="10" fontId="0" fillId="0" borderId="22" xfId="0" applyNumberFormat="1" applyBorder="1"/>
    <xf numFmtId="0" fontId="0" fillId="0" borderId="23" xfId="0" applyBorder="1"/>
    <xf numFmtId="0" fontId="0" fillId="0" borderId="79" xfId="0" applyBorder="1"/>
    <xf numFmtId="0" fontId="10" fillId="15" borderId="0" xfId="0" applyFont="1" applyFill="1"/>
    <xf numFmtId="0" fontId="0" fillId="0" borderId="80" xfId="0" applyBorder="1" applyAlignment="1">
      <alignment horizontal="center" vertical="center"/>
    </xf>
    <xf numFmtId="0" fontId="0" fillId="0" borderId="81" xfId="0" applyBorder="1" applyAlignment="1">
      <alignment horizontal="center" vertical="center"/>
    </xf>
    <xf numFmtId="1" fontId="0" fillId="0" borderId="82" xfId="0" applyNumberFormat="1" applyBorder="1" applyAlignment="1">
      <alignment horizontal="center" vertical="center"/>
    </xf>
    <xf numFmtId="1" fontId="0" fillId="0" borderId="83" xfId="0" applyNumberFormat="1" applyBorder="1" applyAlignment="1">
      <alignment horizontal="center" vertical="center"/>
    </xf>
    <xf numFmtId="0" fontId="8" fillId="0" borderId="84" xfId="0" applyFont="1" applyBorder="1" applyAlignment="1">
      <alignment horizontal="center"/>
    </xf>
    <xf numFmtId="0" fontId="9" fillId="0" borderId="11" xfId="0" applyFont="1" applyBorder="1"/>
    <xf numFmtId="0" fontId="9" fillId="0" borderId="85" xfId="0" applyFont="1" applyBorder="1"/>
    <xf numFmtId="0" fontId="8" fillId="0" borderId="46" xfId="0" applyFont="1" applyBorder="1" applyAlignment="1">
      <alignment horizontal="center"/>
    </xf>
    <xf numFmtId="0" fontId="8" fillId="0" borderId="9" xfId="0" applyFont="1" applyBorder="1" applyAlignment="1">
      <alignment horizontal="center"/>
    </xf>
    <xf numFmtId="0" fontId="8" fillId="0" borderId="38" xfId="0" applyFont="1" applyBorder="1" applyAlignment="1">
      <alignment horizontal="center"/>
    </xf>
    <xf numFmtId="0" fontId="0" fillId="0" borderId="79" xfId="0" applyBorder="1" applyAlignment="1">
      <alignment wrapText="1"/>
    </xf>
    <xf numFmtId="2" fontId="0" fillId="0" borderId="18" xfId="0" applyNumberFormat="1" applyBorder="1" applyAlignment="1">
      <alignment horizontal="center" vertical="center"/>
    </xf>
    <xf numFmtId="0" fontId="0" fillId="0" borderId="22" xfId="0" applyBorder="1" applyAlignment="1">
      <alignment wrapText="1"/>
    </xf>
    <xf numFmtId="0" fontId="0" fillId="0" borderId="22" xfId="0" applyBorder="1" applyAlignment="1">
      <alignment horizontal="center" wrapText="1"/>
    </xf>
    <xf numFmtId="0" fontId="0" fillId="0" borderId="80" xfId="0" applyBorder="1"/>
    <xf numFmtId="0" fontId="0" fillId="0" borderId="82" xfId="0" applyBorder="1"/>
    <xf numFmtId="0" fontId="0" fillId="0" borderId="83" xfId="0" applyBorder="1"/>
    <xf numFmtId="0" fontId="23" fillId="22" borderId="0" xfId="0" applyFont="1" applyFill="1" applyAlignment="1">
      <alignment horizontal="center" vertical="center" wrapText="1"/>
    </xf>
    <xf numFmtId="0" fontId="23" fillId="0" borderId="0" xfId="0" applyFont="1" applyAlignment="1">
      <alignment horizontal="left" vertical="center" wrapText="1" indent="1"/>
    </xf>
    <xf numFmtId="0" fontId="23" fillId="22" borderId="40" xfId="0" applyFont="1" applyFill="1" applyBorder="1" applyAlignment="1">
      <alignment horizontal="center" vertical="center" wrapText="1"/>
    </xf>
    <xf numFmtId="0" fontId="23" fillId="0" borderId="40" xfId="0" applyFont="1" applyBorder="1" applyAlignment="1">
      <alignment horizontal="left" vertical="center" wrapText="1" indent="1"/>
    </xf>
    <xf numFmtId="0" fontId="12" fillId="23" borderId="86" xfId="0" applyFont="1" applyFill="1" applyBorder="1" applyAlignment="1">
      <alignment horizontal="center"/>
    </xf>
    <xf numFmtId="0" fontId="12" fillId="23" borderId="0" xfId="0" applyFont="1" applyFill="1" applyAlignment="1">
      <alignment horizontal="center"/>
    </xf>
    <xf numFmtId="0" fontId="8" fillId="24" borderId="14" xfId="0" applyFont="1" applyFill="1" applyBorder="1" applyAlignment="1">
      <alignment horizontal="center" vertical="center"/>
    </xf>
    <xf numFmtId="0" fontId="24" fillId="24" borderId="87" xfId="0" applyFont="1" applyFill="1" applyBorder="1" applyAlignment="1">
      <alignment horizontal="center" vertical="center"/>
    </xf>
    <xf numFmtId="0" fontId="24" fillId="24" borderId="35" xfId="0" applyFont="1" applyFill="1" applyBorder="1" applyAlignment="1">
      <alignment horizontal="center" vertical="center" wrapText="1"/>
    </xf>
    <xf numFmtId="0" fontId="24" fillId="24" borderId="13" xfId="0" applyFont="1" applyFill="1" applyBorder="1" applyAlignment="1">
      <alignment horizontal="center" vertical="center" wrapText="1"/>
    </xf>
    <xf numFmtId="0" fontId="8" fillId="24" borderId="40" xfId="0" applyFont="1" applyFill="1" applyBorder="1" applyAlignment="1">
      <alignment horizontal="center" vertical="center" wrapText="1"/>
    </xf>
    <xf numFmtId="0" fontId="8" fillId="24" borderId="88" xfId="0" applyFont="1" applyFill="1" applyBorder="1" applyAlignment="1">
      <alignment horizontal="center" vertical="center"/>
    </xf>
    <xf numFmtId="0" fontId="24" fillId="24" borderId="17" xfId="0" applyFont="1" applyFill="1" applyBorder="1" applyAlignment="1">
      <alignment horizontal="center" vertical="center"/>
    </xf>
    <xf numFmtId="0" fontId="24" fillId="24" borderId="18" xfId="0" applyFont="1" applyFill="1" applyBorder="1" applyAlignment="1">
      <alignment horizontal="center" vertical="center" wrapText="1"/>
    </xf>
    <xf numFmtId="0" fontId="24" fillId="24" borderId="19" xfId="0" applyFont="1" applyFill="1" applyBorder="1" applyAlignment="1">
      <alignment horizontal="center" vertical="center" wrapText="1"/>
    </xf>
    <xf numFmtId="0" fontId="25" fillId="0" borderId="49" xfId="0" applyFont="1" applyBorder="1" applyAlignment="1">
      <alignment horizontal="center" vertical="center" textRotation="90"/>
    </xf>
    <xf numFmtId="0" fontId="26" fillId="0" borderId="14" xfId="0" applyFont="1" applyBorder="1" applyAlignment="1">
      <alignment horizontal="right"/>
    </xf>
    <xf numFmtId="0" fontId="25" fillId="0" borderId="70" xfId="0" applyFont="1" applyBorder="1" applyAlignment="1">
      <alignment horizontal="center" vertical="center" textRotation="90"/>
    </xf>
    <xf numFmtId="0" fontId="0" fillId="0" borderId="0" xfId="0" applyAlignment="1">
      <alignment shrinkToFit="1"/>
    </xf>
    <xf numFmtId="0" fontId="26" fillId="25" borderId="14" xfId="0" applyFont="1" applyFill="1" applyBorder="1" applyAlignment="1">
      <alignment horizontal="right"/>
    </xf>
    <xf numFmtId="0" fontId="0" fillId="0" borderId="27" xfId="0" applyBorder="1"/>
    <xf numFmtId="0" fontId="25" fillId="0" borderId="89" xfId="0" applyFont="1" applyBorder="1" applyAlignment="1">
      <alignment horizontal="center" vertical="center" textRotation="90"/>
    </xf>
    <xf numFmtId="0" fontId="27" fillId="25" borderId="29" xfId="0" applyFont="1" applyFill="1" applyBorder="1" applyAlignment="1">
      <alignment horizontal="right"/>
    </xf>
    <xf numFmtId="0" fontId="0" fillId="26" borderId="31" xfId="0" applyFill="1" applyBorder="1"/>
    <xf numFmtId="0" fontId="0" fillId="26" borderId="60" xfId="0" applyFill="1" applyBorder="1"/>
    <xf numFmtId="0" fontId="25" fillId="0" borderId="90" xfId="0" applyFont="1" applyBorder="1" applyAlignment="1">
      <alignment horizontal="center" vertical="center" textRotation="90" wrapText="1"/>
    </xf>
    <xf numFmtId="0" fontId="26" fillId="0" borderId="47" xfId="0" applyFont="1" applyBorder="1" applyAlignment="1">
      <alignment horizontal="right"/>
    </xf>
    <xf numFmtId="0" fontId="25" fillId="0" borderId="70" xfId="0" applyFont="1" applyBorder="1" applyAlignment="1">
      <alignment horizontal="center" vertical="center" textRotation="90" wrapText="1"/>
    </xf>
    <xf numFmtId="0" fontId="25" fillId="0" borderId="89" xfId="0" applyFont="1" applyBorder="1" applyAlignment="1">
      <alignment horizontal="center" vertical="center" textRotation="90" wrapText="1"/>
    </xf>
    <xf numFmtId="0" fontId="27" fillId="0" borderId="29" xfId="0" applyFont="1" applyBorder="1" applyAlignment="1">
      <alignment horizontal="right"/>
    </xf>
    <xf numFmtId="0" fontId="27" fillId="0" borderId="49" xfId="0" applyFont="1" applyBorder="1" applyAlignment="1">
      <alignment horizontal="right"/>
    </xf>
    <xf numFmtId="0" fontId="25" fillId="0" borderId="29" xfId="0" applyFont="1" applyBorder="1" applyAlignment="1">
      <alignment horizontal="right" vertical="center"/>
    </xf>
    <xf numFmtId="0" fontId="1" fillId="2" borderId="0" xfId="0" applyFont="1" applyFill="1" applyAlignment="1">
      <alignment vertical="center"/>
    </xf>
    <xf numFmtId="0" fontId="0" fillId="8" borderId="0" xfId="0" applyFill="1" applyAlignment="1">
      <alignment horizontal="center"/>
    </xf>
    <xf numFmtId="0" fontId="0" fillId="2" borderId="0" xfId="0" applyFill="1" applyAlignment="1">
      <alignment horizontal="center"/>
    </xf>
    <xf numFmtId="0" fontId="0" fillId="27" borderId="0" xfId="0" applyFill="1" applyAlignment="1">
      <alignment horizontal="center"/>
    </xf>
    <xf numFmtId="0" fontId="0" fillId="20" borderId="0" xfId="0" applyFill="1"/>
    <xf numFmtId="0" fontId="8" fillId="24" borderId="40" xfId="0" applyFont="1" applyFill="1" applyBorder="1" applyAlignment="1">
      <alignment horizontal="center" vertical="center"/>
    </xf>
    <xf numFmtId="0" fontId="24" fillId="24" borderId="8" xfId="0" applyFont="1" applyFill="1" applyBorder="1" applyAlignment="1">
      <alignment horizontal="center" vertical="center"/>
    </xf>
    <xf numFmtId="0" fontId="24" fillId="24" borderId="9" xfId="0" applyFont="1" applyFill="1" applyBorder="1" applyAlignment="1">
      <alignment horizontal="center" vertical="center" wrapText="1"/>
    </xf>
    <xf numFmtId="0" fontId="24" fillId="24" borderId="38" xfId="0" applyFont="1" applyFill="1" applyBorder="1" applyAlignment="1">
      <alignment horizontal="center" vertical="center" wrapText="1"/>
    </xf>
    <xf numFmtId="0" fontId="8" fillId="0" borderId="49" xfId="0" applyFont="1" applyBorder="1" applyAlignment="1">
      <alignment horizontal="center" vertical="center" textRotation="90"/>
    </xf>
    <xf numFmtId="0" fontId="26" fillId="0" borderId="14" xfId="0" applyFont="1" applyBorder="1" applyAlignment="1">
      <alignment horizontal="right" wrapText="1"/>
    </xf>
    <xf numFmtId="0" fontId="8" fillId="0" borderId="70" xfId="0" applyFont="1" applyBorder="1" applyAlignment="1">
      <alignment horizontal="center" vertical="center" textRotation="90"/>
    </xf>
    <xf numFmtId="0" fontId="0" fillId="0" borderId="14" xfId="0" applyBorder="1" applyAlignment="1">
      <alignment horizontal="right"/>
    </xf>
    <xf numFmtId="0" fontId="8" fillId="0" borderId="47" xfId="0" applyFont="1" applyBorder="1" applyAlignment="1">
      <alignment horizontal="center" vertical="center" textRotation="90"/>
    </xf>
    <xf numFmtId="0" fontId="28" fillId="0" borderId="14" xfId="0" applyFont="1" applyBorder="1" applyAlignment="1">
      <alignment horizontal="right"/>
    </xf>
    <xf numFmtId="0" fontId="8" fillId="0" borderId="49" xfId="0" applyFont="1" applyBorder="1" applyAlignment="1">
      <alignment horizontal="center" vertical="center" textRotation="90" wrapText="1"/>
    </xf>
    <xf numFmtId="0" fontId="8" fillId="0" borderId="70" xfId="0" applyFont="1" applyBorder="1" applyAlignment="1">
      <alignment horizontal="center" vertical="center" textRotation="90" wrapText="1"/>
    </xf>
    <xf numFmtId="0" fontId="8" fillId="0" borderId="47" xfId="0" applyFont="1" applyBorder="1" applyAlignment="1">
      <alignment horizontal="center" vertical="center" textRotation="90" wrapText="1"/>
    </xf>
    <xf numFmtId="0" fontId="29" fillId="0" borderId="14" xfId="0" applyFont="1" applyBorder="1" applyAlignment="1">
      <alignment horizontal="right"/>
    </xf>
    <xf numFmtId="0" fontId="8" fillId="0" borderId="14" xfId="0" applyFont="1" applyBorder="1" applyAlignment="1">
      <alignment horizontal="right" wrapText="1"/>
    </xf>
    <xf numFmtId="0" fontId="8" fillId="0" borderId="86" xfId="0" applyFont="1" applyBorder="1" applyAlignment="1">
      <alignment horizontal="center" vertical="center" wrapText="1"/>
    </xf>
    <xf numFmtId="0" fontId="0" fillId="0" borderId="91" xfId="0" applyBorder="1" applyAlignment="1">
      <alignment horizontal="right"/>
    </xf>
    <xf numFmtId="0" fontId="30" fillId="0" borderId="14" xfId="0" applyFont="1" applyBorder="1" applyAlignment="1">
      <alignment horizontal="right" vertical="center"/>
    </xf>
    <xf numFmtId="0" fontId="8" fillId="0" borderId="14" xfId="0" applyFont="1" applyBorder="1" applyAlignment="1">
      <alignment horizontal="right" vertical="center"/>
    </xf>
    <xf numFmtId="0" fontId="8" fillId="0" borderId="70" xfId="0" applyFont="1" applyBorder="1" applyAlignment="1">
      <alignment horizontal="center" vertical="center"/>
    </xf>
    <xf numFmtId="0" fontId="8" fillId="0" borderId="49" xfId="0" applyFont="1" applyBorder="1" applyAlignment="1">
      <alignment horizontal="right" vertical="center"/>
    </xf>
    <xf numFmtId="0" fontId="7" fillId="0" borderId="14" xfId="0" applyFont="1" applyBorder="1" applyAlignment="1">
      <alignment horizontal="right"/>
    </xf>
    <xf numFmtId="0" fontId="0" fillId="0" borderId="14" xfId="0" applyBorder="1" applyAlignment="1">
      <alignment horizontal="right" wrapText="1"/>
    </xf>
    <xf numFmtId="0" fontId="7" fillId="0" borderId="14" xfId="0" applyFont="1" applyBorder="1" applyAlignment="1">
      <alignment horizontal="right" wrapText="1"/>
    </xf>
    <xf numFmtId="0" fontId="11" fillId="0" borderId="49" xfId="0" applyFont="1" applyBorder="1" applyAlignment="1">
      <alignment horizontal="center" vertical="center" textRotation="90" wrapText="1"/>
    </xf>
    <xf numFmtId="0" fontId="11" fillId="0" borderId="70" xfId="0" applyFont="1" applyBorder="1" applyAlignment="1">
      <alignment horizontal="center" vertical="center" textRotation="90" wrapText="1"/>
    </xf>
    <xf numFmtId="0" fontId="11" fillId="0" borderId="47" xfId="0" applyFont="1" applyBorder="1" applyAlignment="1">
      <alignment horizontal="center" vertical="center" textRotation="90" wrapText="1"/>
    </xf>
    <xf numFmtId="0" fontId="8" fillId="0" borderId="14" xfId="0" applyFont="1" applyBorder="1" applyAlignment="1">
      <alignment horizontal="right" vertical="center" wrapText="1"/>
    </xf>
    <xf numFmtId="0" fontId="0" fillId="20" borderId="0" xfId="0" applyFill="1" applyAlignment="1">
      <alignment horizontal="center"/>
    </xf>
    <xf numFmtId="0" fontId="31" fillId="0" borderId="70" xfId="0" applyFont="1" applyBorder="1" applyAlignment="1">
      <alignment horizontal="left" vertical="center" wrapText="1"/>
    </xf>
    <xf numFmtId="0" fontId="8" fillId="0" borderId="70" xfId="0" applyFont="1" applyBorder="1" applyAlignment="1">
      <alignment horizontal="right" vertical="center" wrapText="1"/>
    </xf>
    <xf numFmtId="0" fontId="8" fillId="0" borderId="70" xfId="0" applyFont="1" applyBorder="1" applyAlignment="1">
      <alignment horizontal="center" vertical="center" wrapText="1"/>
    </xf>
    <xf numFmtId="0" fontId="0" fillId="0" borderId="70" xfId="0" applyBorder="1" applyAlignment="1">
      <alignment horizontal="right"/>
    </xf>
    <xf numFmtId="0" fontId="16" fillId="0" borderId="92" xfId="0" applyFont="1" applyBorder="1" applyAlignment="1">
      <alignment horizontal="right"/>
    </xf>
    <xf numFmtId="0" fontId="16" fillId="0" borderId="93" xfId="0" applyFont="1" applyBorder="1" applyAlignment="1">
      <alignment horizontal="right"/>
    </xf>
    <xf numFmtId="0" fontId="0" fillId="17" borderId="0" xfId="0" applyFill="1"/>
    <xf numFmtId="0" fontId="0" fillId="28" borderId="0" xfId="0" applyFill="1"/>
    <xf numFmtId="0" fontId="0" fillId="19" borderId="0" xfId="0" applyFill="1"/>
    <xf numFmtId="0" fontId="0" fillId="0" borderId="63" xfId="0" applyBorder="1"/>
    <xf numFmtId="0" fontId="12" fillId="23" borderId="14" xfId="0" applyFont="1" applyFill="1" applyBorder="1" applyAlignment="1">
      <alignment horizontal="center"/>
    </xf>
    <xf numFmtId="0" fontId="8" fillId="24" borderId="40" xfId="0" applyFont="1" applyFill="1" applyBorder="1" applyAlignment="1">
      <alignment horizontal="center" vertical="center"/>
    </xf>
    <xf numFmtId="0" fontId="8" fillId="24" borderId="94" xfId="0" applyFont="1" applyFill="1" applyBorder="1" applyAlignment="1">
      <alignment horizontal="center" vertical="center"/>
    </xf>
    <xf numFmtId="0" fontId="24" fillId="24" borderId="69" xfId="0" applyFont="1" applyFill="1" applyBorder="1" applyAlignment="1">
      <alignment horizontal="center" vertical="center" wrapText="1"/>
    </xf>
    <xf numFmtId="0" fontId="24" fillId="24" borderId="14" xfId="0" applyFont="1" applyFill="1" applyBorder="1" applyAlignment="1">
      <alignment horizontal="center" vertical="center" wrapText="1"/>
    </xf>
    <xf numFmtId="0" fontId="8" fillId="24" borderId="0" xfId="0" applyFont="1" applyFill="1" applyAlignment="1">
      <alignment horizontal="center" vertical="center"/>
    </xf>
    <xf numFmtId="0" fontId="8" fillId="24" borderId="95" xfId="0" applyFont="1" applyFill="1" applyBorder="1" applyAlignment="1">
      <alignment horizontal="center" vertical="center"/>
    </xf>
    <xf numFmtId="0" fontId="32" fillId="0" borderId="14" xfId="0" applyFont="1" applyBorder="1"/>
    <xf numFmtId="0" fontId="29" fillId="0" borderId="14" xfId="0" applyFont="1" applyBorder="1"/>
    <xf numFmtId="0" fontId="29" fillId="0" borderId="0" xfId="0" applyFont="1"/>
    <xf numFmtId="0" fontId="0" fillId="21" borderId="0" xfId="0" applyFill="1"/>
    <xf numFmtId="0" fontId="33" fillId="0" borderId="96" xfId="0" applyFont="1" applyBorder="1" applyAlignment="1">
      <alignment horizontal="left" vertical="top" wrapText="1"/>
    </xf>
    <xf numFmtId="0" fontId="33" fillId="0" borderId="97" xfId="0" applyFont="1" applyBorder="1" applyAlignment="1">
      <alignment horizontal="left" vertical="top" wrapText="1"/>
    </xf>
    <xf numFmtId="0" fontId="33" fillId="0" borderId="98" xfId="0" applyFont="1" applyBorder="1" applyAlignment="1">
      <alignment horizontal="left" vertical="top" wrapText="1"/>
    </xf>
    <xf numFmtId="0" fontId="34" fillId="0" borderId="99" xfId="0" applyFont="1" applyBorder="1" applyAlignment="1">
      <alignment horizontal="right" vertical="center" wrapText="1"/>
    </xf>
    <xf numFmtId="168" fontId="34" fillId="0" borderId="99" xfId="0" applyNumberFormat="1" applyFont="1" applyBorder="1" applyAlignment="1">
      <alignment horizontal="right" vertical="top" wrapText="1"/>
    </xf>
    <xf numFmtId="0" fontId="34" fillId="0" borderId="99" xfId="0" applyFont="1" applyBorder="1" applyAlignment="1">
      <alignment horizontal="right" vertical="top" wrapText="1"/>
    </xf>
    <xf numFmtId="15" fontId="34" fillId="0" borderId="99" xfId="0" applyNumberFormat="1" applyFont="1" applyBorder="1" applyAlignment="1">
      <alignment horizontal="right" vertical="top" wrapText="1"/>
    </xf>
    <xf numFmtId="169" fontId="34" fillId="0" borderId="99" xfId="0" applyNumberFormat="1" applyFont="1" applyBorder="1" applyAlignment="1">
      <alignment horizontal="right" vertical="top" wrapText="1"/>
    </xf>
    <xf numFmtId="0" fontId="33" fillId="29" borderId="99" xfId="0" applyFont="1" applyFill="1" applyBorder="1" applyAlignment="1">
      <alignment horizontal="left" vertical="top" wrapText="1"/>
    </xf>
    <xf numFmtId="0" fontId="33" fillId="29" borderId="99" xfId="0" applyFont="1" applyFill="1" applyBorder="1" applyAlignment="1">
      <alignment horizontal="right" vertical="top" wrapText="1"/>
    </xf>
    <xf numFmtId="169" fontId="33" fillId="29" borderId="99" xfId="0" applyNumberFormat="1" applyFont="1" applyFill="1" applyBorder="1" applyAlignment="1">
      <alignment horizontal="right" vertical="top" wrapText="1"/>
    </xf>
    <xf numFmtId="0" fontId="33" fillId="0" borderId="96" xfId="0" applyFont="1" applyBorder="1" applyAlignment="1">
      <alignment horizontal="right" vertical="top" wrapText="1"/>
    </xf>
    <xf numFmtId="0" fontId="33" fillId="0" borderId="97" xfId="0" applyFont="1" applyBorder="1" applyAlignment="1">
      <alignment horizontal="right" vertical="top" wrapText="1"/>
    </xf>
    <xf numFmtId="2" fontId="34" fillId="0" borderId="99" xfId="0" applyNumberFormat="1" applyFont="1" applyBorder="1" applyAlignment="1">
      <alignment horizontal="right" vertical="top" wrapText="1"/>
    </xf>
    <xf numFmtId="0" fontId="33" fillId="0" borderId="99" xfId="0" applyFont="1" applyBorder="1" applyAlignment="1">
      <alignment horizontal="left" vertical="top" wrapText="1"/>
    </xf>
    <xf numFmtId="0" fontId="33" fillId="0" borderId="99" xfId="0" applyFont="1" applyBorder="1" applyAlignment="1">
      <alignment horizontal="right" vertical="top" wrapText="1"/>
    </xf>
    <xf numFmtId="2" fontId="33" fillId="0" borderId="99" xfId="0" applyNumberFormat="1" applyFont="1" applyBorder="1" applyAlignment="1">
      <alignment horizontal="right" vertical="top" wrapText="1"/>
    </xf>
    <xf numFmtId="2" fontId="33" fillId="29" borderId="99" xfId="0" applyNumberFormat="1" applyFont="1" applyFill="1" applyBorder="1" applyAlignment="1">
      <alignment horizontal="right" vertical="top" wrapText="1"/>
    </xf>
    <xf numFmtId="0" fontId="33" fillId="0" borderId="98" xfId="0" applyFont="1" applyBorder="1" applyAlignment="1">
      <alignment horizontal="right" vertical="top" wrapText="1"/>
    </xf>
    <xf numFmtId="0" fontId="35" fillId="29" borderId="99" xfId="0" applyFont="1" applyFill="1" applyBorder="1" applyAlignment="1">
      <alignment horizontal="right" vertical="top" wrapText="1"/>
    </xf>
    <xf numFmtId="0" fontId="35" fillId="0" borderId="96" xfId="0" applyFont="1" applyBorder="1" applyAlignment="1">
      <alignment horizontal="center" vertical="top" wrapText="1"/>
    </xf>
    <xf numFmtId="0" fontId="35" fillId="0" borderId="97" xfId="0" applyFont="1" applyBorder="1" applyAlignment="1">
      <alignment horizontal="center" vertical="top" wrapText="1"/>
    </xf>
    <xf numFmtId="0" fontId="35" fillId="0" borderId="98" xfId="0" applyFont="1" applyBorder="1" applyAlignment="1">
      <alignment horizontal="center" vertical="top" wrapText="1"/>
    </xf>
    <xf numFmtId="0" fontId="36" fillId="29" borderId="96" xfId="0" applyFont="1" applyFill="1" applyBorder="1" applyAlignment="1">
      <alignment horizontal="center" vertical="top" wrapText="1"/>
    </xf>
    <xf numFmtId="0" fontId="36" fillId="29" borderId="97" xfId="0" applyFont="1" applyFill="1" applyBorder="1" applyAlignment="1">
      <alignment horizontal="center" vertical="top" wrapText="1"/>
    </xf>
    <xf numFmtId="0" fontId="36" fillId="29" borderId="98" xfId="0" applyFont="1" applyFill="1" applyBorder="1" applyAlignment="1">
      <alignment horizontal="center" vertical="top" wrapText="1"/>
    </xf>
    <xf numFmtId="169" fontId="33" fillId="0" borderId="99" xfId="0" applyNumberFormat="1" applyFont="1" applyBorder="1" applyAlignment="1">
      <alignment horizontal="right" vertical="top" wrapText="1"/>
    </xf>
    <xf numFmtId="14" fontId="34" fillId="0" borderId="99" xfId="0" applyNumberFormat="1" applyFont="1" applyBorder="1" applyAlignment="1">
      <alignment horizontal="right" vertical="top" wrapText="1"/>
    </xf>
    <xf numFmtId="169" fontId="0" fillId="0" borderId="0" xfId="0" applyNumberFormat="1"/>
    <xf numFmtId="0" fontId="36" fillId="0" borderId="99" xfId="0" applyFont="1" applyBorder="1" applyAlignment="1">
      <alignment horizontal="right" vertical="top" wrapText="1"/>
    </xf>
    <xf numFmtId="0" fontId="37" fillId="0" borderId="99" xfId="0" applyFont="1" applyBorder="1" applyAlignment="1">
      <alignment vertical="top" wrapText="1"/>
    </xf>
    <xf numFmtId="0" fontId="34" fillId="0" borderId="96" xfId="0" applyFont="1" applyBorder="1" applyAlignment="1">
      <alignment horizontal="center" vertical="top" wrapText="1"/>
    </xf>
    <xf numFmtId="0" fontId="34" fillId="0" borderId="97" xfId="0" applyFont="1" applyBorder="1" applyAlignment="1">
      <alignment horizontal="center" vertical="top" wrapText="1"/>
    </xf>
    <xf numFmtId="0" fontId="34" fillId="0" borderId="98" xfId="0" applyFont="1" applyBorder="1" applyAlignment="1">
      <alignment horizontal="center" vertical="top" wrapText="1"/>
    </xf>
    <xf numFmtId="0" fontId="34" fillId="0" borderId="99" xfId="0" applyFont="1" applyBorder="1" applyAlignment="1">
      <alignment vertical="top" wrapText="1"/>
    </xf>
    <xf numFmtId="0" fontId="34" fillId="2" borderId="100" xfId="0" applyFont="1" applyFill="1" applyBorder="1" applyAlignment="1">
      <alignment horizontal="center" vertical="top" wrapText="1"/>
    </xf>
    <xf numFmtId="0" fontId="34" fillId="2" borderId="0" xfId="0" applyFont="1" applyFill="1" applyAlignment="1">
      <alignment horizontal="center" vertical="top" wrapText="1"/>
    </xf>
    <xf numFmtId="0" fontId="34" fillId="0" borderId="0" xfId="0" applyFont="1" applyAlignment="1">
      <alignment horizontal="left" vertical="top" wrapText="1"/>
    </xf>
    <xf numFmtId="0" fontId="0" fillId="30" borderId="0" xfId="0" applyFill="1"/>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left" vertical="center" wrapText="1" indent="1"/>
    </xf>
    <xf numFmtId="0" fontId="4" fillId="0" borderId="0" xfId="0" applyFont="1" applyAlignment="1">
      <alignment horizontal="left" vertical="center" wrapText="1" indent="1"/>
    </xf>
    <xf numFmtId="0" fontId="39" fillId="0" borderId="0" xfId="0" applyFont="1" applyAlignment="1">
      <alignment vertical="center" wrapText="1"/>
    </xf>
    <xf numFmtId="0" fontId="6" fillId="0" borderId="0" xfId="0" applyFont="1" applyAlignment="1">
      <alignment horizontal="left" vertical="center" wrapText="1" indent="1"/>
    </xf>
    <xf numFmtId="0" fontId="40" fillId="0" borderId="0" xfId="0" applyFont="1" applyAlignment="1">
      <alignment vertical="center" wrapText="1"/>
    </xf>
    <xf numFmtId="0" fontId="41" fillId="0" borderId="0" xfId="0" applyFont="1" applyAlignment="1">
      <alignment horizontal="left" vertical="center" wrapText="1" indent="1"/>
    </xf>
    <xf numFmtId="0" fontId="42" fillId="0" borderId="0" xfId="0" applyFont="1" applyAlignment="1">
      <alignment horizontal="left" vertical="center" wrapText="1" indent="1"/>
    </xf>
    <xf numFmtId="0" fontId="45" fillId="0" borderId="0" xfId="1" applyAlignment="1">
      <alignment horizontal="left" vertical="center" wrapText="1" indent="2"/>
    </xf>
    <xf numFmtId="0" fontId="45" fillId="0" borderId="101" xfId="1" applyBorder="1" applyAlignment="1">
      <alignment horizontal="left" vertical="center" wrapText="1" indent="2"/>
    </xf>
    <xf numFmtId="0" fontId="45" fillId="0" borderId="0" xfId="1"/>
    <xf numFmtId="0" fontId="44" fillId="0" borderId="0" xfId="0" applyFont="1"/>
    <xf numFmtId="0" fontId="2" fillId="0" borderId="0" xfId="0" applyFont="1" applyAlignment="1">
      <alignment horizontal="left" vertical="center" wrapText="1" indent="1"/>
    </xf>
    <xf numFmtId="0" fontId="38" fillId="0" borderId="0" xfId="0" applyFont="1" applyAlignment="1">
      <alignment horizontal="left" vertical="center" wrapText="1" indent="1"/>
    </xf>
    <xf numFmtId="8" fontId="46" fillId="0" borderId="0" xfId="0" applyNumberFormat="1" applyFont="1" applyAlignment="1">
      <alignment horizontal="left" vertical="center" wrapText="1" indent="1"/>
    </xf>
    <xf numFmtId="0" fontId="46" fillId="0" borderId="0" xfId="0" applyFont="1" applyAlignment="1">
      <alignment horizontal="left" vertical="center" wrapText="1" indent="1"/>
    </xf>
    <xf numFmtId="6" fontId="46" fillId="0" borderId="0" xfId="0" applyNumberFormat="1" applyFont="1" applyAlignment="1">
      <alignment horizontal="left" vertical="center" wrapText="1" indent="1"/>
    </xf>
    <xf numFmtId="0" fontId="6" fillId="0" borderId="0" xfId="0" applyFont="1" applyAlignment="1">
      <alignment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10" fontId="4" fillId="0" borderId="1" xfId="0" applyNumberFormat="1" applyFont="1" applyBorder="1" applyAlignment="1">
      <alignmen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41" fillId="0" borderId="0" xfId="0" applyFont="1" applyAlignment="1">
      <alignment vertical="center" wrapText="1"/>
    </xf>
    <xf numFmtId="0" fontId="5" fillId="0" borderId="0" xfId="0" applyFont="1" applyAlignment="1">
      <alignment vertical="center" wrapText="1"/>
    </xf>
    <xf numFmtId="0" fontId="47"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A-5CC6-11CF-8D67-00AA00BDCE1D}" ax:persistence="persistStream" r:id="rId1"/>
</file>

<file path=xl/activeX/activeX12.xml><?xml version="1.0" encoding="utf-8"?>
<ax:ocx xmlns:ax="http://schemas.microsoft.com/office/2006/activeX" xmlns:r="http://schemas.openxmlformats.org/officeDocument/2006/relationships" ax:classid="{5512D11A-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A-5CC6-11CF-8D67-00AA00BDCE1D}" ax:persistence="persistStream" r:id="rId1"/>
</file>

<file path=xl/activeX/activeX16.xml><?xml version="1.0" encoding="utf-8"?>
<ax:ocx xmlns:ax="http://schemas.microsoft.com/office/2006/activeX" xmlns:r="http://schemas.openxmlformats.org/officeDocument/2006/relationships" ax:classid="{5512D11A-5CC6-11CF-8D67-00AA00BDCE1D}" ax:persistence="persistStream" r:id="rId1"/>
</file>

<file path=xl/activeX/activeX17.xml><?xml version="1.0" encoding="utf-8"?>
<ax:ocx xmlns:ax="http://schemas.microsoft.com/office/2006/activeX" xmlns:r="http://schemas.openxmlformats.org/officeDocument/2006/relationships" ax:classid="{5512D11A-5CC6-11CF-8D67-00AA00BDCE1D}" ax:persistence="persistStream" r:id="rId1"/>
</file>

<file path=xl/activeX/activeX18.xml><?xml version="1.0" encoding="utf-8"?>
<ax:ocx xmlns:ax="http://schemas.microsoft.com/office/2006/activeX" xmlns:r="http://schemas.openxmlformats.org/officeDocument/2006/relationships" ax:classid="{5512D11A-5CC6-11CF-8D67-00AA00BDCE1D}" ax:persistence="persistStream" r:id="rId1"/>
</file>

<file path=xl/activeX/activeX19.xml><?xml version="1.0" encoding="utf-8"?>
<ax:ocx xmlns:ax="http://schemas.microsoft.com/office/2006/activeX" xmlns:r="http://schemas.openxmlformats.org/officeDocument/2006/relationships" ax:classid="{5512D11A-5CC6-11CF-8D67-00AA00BDCE1D}" ax:persistence="persistStream" r:id="rId1"/>
</file>

<file path=xl/activeX/activeX20.xml><?xml version="1.0" encoding="utf-8"?>
<ax:ocx xmlns:ax="http://schemas.microsoft.com/office/2006/activeX" xmlns:r="http://schemas.openxmlformats.org/officeDocument/2006/relationships" ax:classid="{5512D11A-5CC6-11CF-8D67-00AA00BDCE1D}" ax:persistence="persistStream" r:id="rId1"/>
</file>

<file path=xl/activeX/activeX21.xml><?xml version="1.0" encoding="utf-8"?>
<ax:ocx xmlns:ax="http://schemas.microsoft.com/office/2006/activeX" xmlns:r="http://schemas.openxmlformats.org/officeDocument/2006/relationships" ax:classid="{5512D11A-5CC6-11CF-8D67-00AA00BDCE1D}" ax:persistence="persistStream" r:id="rId1"/>
</file>

<file path=xl/activeX/activeX22.xml><?xml version="1.0" encoding="utf-8"?>
<ax:ocx xmlns:ax="http://schemas.microsoft.com/office/2006/activeX" xmlns:r="http://schemas.openxmlformats.org/officeDocument/2006/relationships" ax:classid="{5512D11A-5CC6-11CF-8D67-00AA00BDCE1D}" ax:persistence="persistStream" r:id="rId1"/>
</file>

<file path=xl/activeX/activeX23.xml><?xml version="1.0" encoding="utf-8"?>
<ax:ocx xmlns:ax="http://schemas.microsoft.com/office/2006/activeX" xmlns:r="http://schemas.openxmlformats.org/officeDocument/2006/relationships" ax:classid="{5512D11A-5CC6-11CF-8D67-00AA00BDCE1D}" ax:persistence="persistStream" r:id="rId1"/>
</file>

<file path=xl/activeX/activeX24.xml><?xml version="1.0" encoding="utf-8"?>
<ax:ocx xmlns:ax="http://schemas.microsoft.com/office/2006/activeX" xmlns:r="http://schemas.openxmlformats.org/officeDocument/2006/relationships" ax:classid="{5512D11A-5CC6-11CF-8D67-00AA00BDCE1D}" ax:persistence="persistStream" r:id="rId1"/>
</file>

<file path=xl/activeX/activeX25.xml><?xml version="1.0" encoding="utf-8"?>
<ax:ocx xmlns:ax="http://schemas.microsoft.com/office/2006/activeX" xmlns:r="http://schemas.openxmlformats.org/officeDocument/2006/relationships" ax:classid="{5512D11A-5CC6-11CF-8D67-00AA00BDCE1D}" ax:persistence="persistStream" r:id="rId1"/>
</file>

<file path=xl/activeX/activeX26.xml><?xml version="1.0" encoding="utf-8"?>
<ax:ocx xmlns:ax="http://schemas.microsoft.com/office/2006/activeX" xmlns:r="http://schemas.openxmlformats.org/officeDocument/2006/relationships" ax:classid="{5512D11A-5CC6-11CF-8D67-00AA00BDCE1D}" ax:persistence="persistStream" r:id="rId1"/>
</file>

<file path=xl/activeX/activeX27.xml><?xml version="1.0" encoding="utf-8"?>
<ax:ocx xmlns:ax="http://schemas.microsoft.com/office/2006/activeX" xmlns:r="http://schemas.openxmlformats.org/officeDocument/2006/relationships" ax:classid="{5512D11A-5CC6-11CF-8D67-00AA00BDCE1D}" ax:persistence="persistStream" r:id="rId1"/>
</file>

<file path=xl/activeX/activeX28.xml><?xml version="1.0" encoding="utf-8"?>
<ax:ocx xmlns:ax="http://schemas.microsoft.com/office/2006/activeX" xmlns:r="http://schemas.openxmlformats.org/officeDocument/2006/relationships" ax:classid="{5512D11A-5CC6-11CF-8D67-00AA00BDCE1D}" ax:persistence="persistStream" r:id="rId1"/>
</file>

<file path=xl/activeX/activeX29.xml><?xml version="1.0" encoding="utf-8"?>
<ax:ocx xmlns:ax="http://schemas.microsoft.com/office/2006/activeX" xmlns:r="http://schemas.openxmlformats.org/officeDocument/2006/relationships" ax:classid="{5512D11A-5CC6-11CF-8D67-00AA00BDCE1D}" ax:persistence="persistStream" r:id="rId1"/>
</file>

<file path=xl/activeX/activeX30.xml><?xml version="1.0" encoding="utf-8"?>
<ax:ocx xmlns:ax="http://schemas.microsoft.com/office/2006/activeX" xmlns:r="http://schemas.openxmlformats.org/officeDocument/2006/relationships" ax:classid="{5512D11A-5CC6-11CF-8D67-00AA00BDCE1D}" ax:persistence="persistStream" r:id="rId1"/>
</file>

<file path=xl/activeX/activeX31.xml><?xml version="1.0" encoding="utf-8"?>
<ax:ocx xmlns:ax="http://schemas.microsoft.com/office/2006/activeX" xmlns:r="http://schemas.openxmlformats.org/officeDocument/2006/relationships" ax:classid="{5512D11A-5CC6-11CF-8D67-00AA00BDCE1D}" ax:persistence="persistStream" r:id="rId1"/>
</file>

<file path=xl/activeX/activeX32.xml><?xml version="1.0" encoding="utf-8"?>
<ax:ocx xmlns:ax="http://schemas.microsoft.com/office/2006/activeX" xmlns:r="http://schemas.openxmlformats.org/officeDocument/2006/relationships" ax:classid="{5512D11A-5CC6-11CF-8D67-00AA00BDCE1D}" ax:persistence="persistStream" r:id="rId1"/>
</file>

<file path=xl/activeX/activeX33.xml><?xml version="1.0" encoding="utf-8"?>
<ax:ocx xmlns:ax="http://schemas.microsoft.com/office/2006/activeX" xmlns:r="http://schemas.openxmlformats.org/officeDocument/2006/relationships" ax:classid="{5512D11A-5CC6-11CF-8D67-00AA00BDCE1D}" ax:persistence="persistStream" r:id="rId1"/>
</file>

<file path=xl/activeX/activeX34.xml><?xml version="1.0" encoding="utf-8"?>
<ax:ocx xmlns:ax="http://schemas.microsoft.com/office/2006/activeX" xmlns:r="http://schemas.openxmlformats.org/officeDocument/2006/relationships" ax:classid="{5512D11A-5CC6-11CF-8D67-00AA00BDCE1D}" ax:persistence="persistStream" r:id="rId1"/>
</file>

<file path=xl/activeX/activeX35.xml><?xml version="1.0" encoding="utf-8"?>
<ax:ocx xmlns:ax="http://schemas.microsoft.com/office/2006/activeX" xmlns:r="http://schemas.openxmlformats.org/officeDocument/2006/relationships" ax:classid="{5512D11A-5CC6-11CF-8D67-00AA00BDCE1D}" ax:persistence="persistStream" r:id="rId1"/>
</file>

<file path=xl/activeX/activeX36.xml><?xml version="1.0" encoding="utf-8"?>
<ax:ocx xmlns:ax="http://schemas.microsoft.com/office/2006/activeX" xmlns:r="http://schemas.openxmlformats.org/officeDocument/2006/relationships" ax:classid="{5512D11A-5CC6-11CF-8D67-00AA00BDCE1D}" ax:persistence="persistStream" r:id="rId1"/>
</file>

<file path=xl/activeX/activeX37.xml><?xml version="1.0" encoding="utf-8"?>
<ax:ocx xmlns:ax="http://schemas.microsoft.com/office/2006/activeX" xmlns:r="http://schemas.openxmlformats.org/officeDocument/2006/relationships" ax:classid="{5512D11A-5CC6-11CF-8D67-00AA00BDCE1D}" ax:persistence="persistStream" r:id="rId1"/>
</file>

<file path=xl/activeX/activeX38.xml><?xml version="1.0" encoding="utf-8"?>
<ax:ocx xmlns:ax="http://schemas.microsoft.com/office/2006/activeX" xmlns:r="http://schemas.openxmlformats.org/officeDocument/2006/relationships" ax:classid="{5512D11A-5CC6-11CF-8D67-00AA00BDCE1D}" ax:persistence="persistStream" r:id="rId1"/>
</file>

<file path=xl/activeX/activeX39.xml><?xml version="1.0" encoding="utf-8"?>
<ax:ocx xmlns:ax="http://schemas.microsoft.com/office/2006/activeX" xmlns:r="http://schemas.openxmlformats.org/officeDocument/2006/relationships" ax:classid="{5512D11A-5CC6-11CF-8D67-00AA00BDCE1D}" ax:persistence="persistStream" r:id="rId1"/>
</file>

<file path=xl/activeX/activeX40.xml><?xml version="1.0" encoding="utf-8"?>
<ax:ocx xmlns:ax="http://schemas.microsoft.com/office/2006/activeX" xmlns:r="http://schemas.openxmlformats.org/officeDocument/2006/relationships" ax:classid="{5512D11A-5CC6-11CF-8D67-00AA00BDCE1D}" ax:persistence="persistStream" r:id="rId1"/>
</file>

<file path=xl/activeX/activeX41.xml><?xml version="1.0" encoding="utf-8"?>
<ax:ocx xmlns:ax="http://schemas.microsoft.com/office/2006/activeX" xmlns:r="http://schemas.openxmlformats.org/officeDocument/2006/relationships" ax:classid="{5512D11A-5CC6-11CF-8D67-00AA00BDCE1D}" ax:persistence="persistStream" r:id="rId1"/>
</file>

<file path=xl/activeX/activeX42.xml><?xml version="1.0" encoding="utf-8"?>
<ax:ocx xmlns:ax="http://schemas.microsoft.com/office/2006/activeX" xmlns:r="http://schemas.openxmlformats.org/officeDocument/2006/relationships" ax:classid="{5512D11A-5CC6-11CF-8D67-00AA00BDCE1D}" ax:persistence="persistStream" r:id="rId1"/>
</file>

<file path=xl/activeX/activeX43.xml><?xml version="1.0" encoding="utf-8"?>
<ax:ocx xmlns:ax="http://schemas.microsoft.com/office/2006/activeX" xmlns:r="http://schemas.openxmlformats.org/officeDocument/2006/relationships" ax:classid="{5512D11A-5CC6-11CF-8D67-00AA00BDCE1D}" ax:persistence="persistStream" r:id="rId1"/>
</file>

<file path=xl/activeX/activeX44.xml><?xml version="1.0" encoding="utf-8"?>
<ax:ocx xmlns:ax="http://schemas.microsoft.com/office/2006/activeX" xmlns:r="http://schemas.openxmlformats.org/officeDocument/2006/relationships" ax:classid="{5512D11A-5CC6-11CF-8D67-00AA00BDCE1D}" ax:persistence="persistStream" r:id="rId1"/>
</file>

<file path=xl/activeX/activeX45.xml><?xml version="1.0" encoding="utf-8"?>
<ax:ocx xmlns:ax="http://schemas.microsoft.com/office/2006/activeX" xmlns:r="http://schemas.openxmlformats.org/officeDocument/2006/relationships" ax:classid="{5512D11A-5CC6-11CF-8D67-00AA00BDCE1D}" ax:persistence="persistStream" r:id="rId1"/>
</file>

<file path=xl/activeX/activeX46.xml><?xml version="1.0" encoding="utf-8"?>
<ax:ocx xmlns:ax="http://schemas.microsoft.com/office/2006/activeX" xmlns:r="http://schemas.openxmlformats.org/officeDocument/2006/relationships" ax:classid="{5512D11A-5CC6-11CF-8D67-00AA00BDCE1D}" ax:persistence="persistStream" r:id="rId1"/>
</file>

<file path=xl/activeX/activeX47.xml><?xml version="1.0" encoding="utf-8"?>
<ax:ocx xmlns:ax="http://schemas.microsoft.com/office/2006/activeX" xmlns:r="http://schemas.openxmlformats.org/officeDocument/2006/relationships" ax:classid="{5512D11A-5CC6-11CF-8D67-00AA00BDCE1D}" ax:persistence="persistStream" r:id="rId1"/>
</file>

<file path=xl/activeX/activeX48.xml><?xml version="1.0" encoding="utf-8"?>
<ax:ocx xmlns:ax="http://schemas.microsoft.com/office/2006/activeX" xmlns:r="http://schemas.openxmlformats.org/officeDocument/2006/relationships" ax:classid="{5512D11A-5CC6-11CF-8D67-00AA00BDCE1D}" ax:persistence="persistStream" r:id="rId1"/>
</file>

<file path=xl/activeX/activeX49.xml><?xml version="1.0" encoding="utf-8"?>
<ax:ocx xmlns:ax="http://schemas.microsoft.com/office/2006/activeX" xmlns:r="http://schemas.openxmlformats.org/officeDocument/2006/relationships" ax:classid="{5512D11A-5CC6-11CF-8D67-00AA00BDCE1D}" ax:persistence="persistStream" r:id="rId1"/>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0</xdr:col>
          <xdr:colOff>914400</xdr:colOff>
          <xdr:row>4</xdr:row>
          <xdr:rowOff>45720</xdr:rowOff>
        </xdr:to>
        <xdr:sp macro="" textlink="">
          <xdr:nvSpPr>
            <xdr:cNvPr id="12289" name="Control 1" hidden="1">
              <a:extLst>
                <a:ext uri="{63B3BB69-23CF-44E3-9099-C40C66FF867C}">
                  <a14:compatExt spid="_x0000_s12289"/>
                </a:ext>
                <a:ext uri="{FF2B5EF4-FFF2-40B4-BE49-F238E27FC236}">
                  <a16:creationId xmlns:a16="http://schemas.microsoft.com/office/drawing/2014/main" id="{ADB6E56F-682E-D76E-AECB-5C349EE469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0</xdr:col>
          <xdr:colOff>914400</xdr:colOff>
          <xdr:row>7</xdr:row>
          <xdr:rowOff>45720</xdr:rowOff>
        </xdr:to>
        <xdr:sp macro="" textlink="">
          <xdr:nvSpPr>
            <xdr:cNvPr id="12290" name="Control 2" hidden="1">
              <a:extLst>
                <a:ext uri="{63B3BB69-23CF-44E3-9099-C40C66FF867C}">
                  <a14:compatExt spid="_x0000_s12290"/>
                </a:ext>
                <a:ext uri="{FF2B5EF4-FFF2-40B4-BE49-F238E27FC236}">
                  <a16:creationId xmlns:a16="http://schemas.microsoft.com/office/drawing/2014/main" id="{BB767C2F-81BA-D406-1C9C-9C7540930C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914400</xdr:colOff>
          <xdr:row>13</xdr:row>
          <xdr:rowOff>45720</xdr:rowOff>
        </xdr:to>
        <xdr:sp macro="" textlink="">
          <xdr:nvSpPr>
            <xdr:cNvPr id="12291" name="Control 3" hidden="1">
              <a:extLst>
                <a:ext uri="{63B3BB69-23CF-44E3-9099-C40C66FF867C}">
                  <a14:compatExt spid="_x0000_s12291"/>
                </a:ext>
                <a:ext uri="{FF2B5EF4-FFF2-40B4-BE49-F238E27FC236}">
                  <a16:creationId xmlns:a16="http://schemas.microsoft.com/office/drawing/2014/main" id="{9DD6BD3F-0C95-790A-F993-49EA022CEA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0</xdr:col>
          <xdr:colOff>914400</xdr:colOff>
          <xdr:row>16</xdr:row>
          <xdr:rowOff>45720</xdr:rowOff>
        </xdr:to>
        <xdr:sp macro="" textlink="">
          <xdr:nvSpPr>
            <xdr:cNvPr id="12292" name="Control 4" hidden="1">
              <a:extLst>
                <a:ext uri="{63B3BB69-23CF-44E3-9099-C40C66FF867C}">
                  <a14:compatExt spid="_x0000_s12292"/>
                </a:ext>
                <a:ext uri="{FF2B5EF4-FFF2-40B4-BE49-F238E27FC236}">
                  <a16:creationId xmlns:a16="http://schemas.microsoft.com/office/drawing/2014/main" id="{30C5AF25-4910-1EA0-E17F-1A19305A68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914400</xdr:colOff>
          <xdr:row>19</xdr:row>
          <xdr:rowOff>45720</xdr:rowOff>
        </xdr:to>
        <xdr:sp macro="" textlink="">
          <xdr:nvSpPr>
            <xdr:cNvPr id="12293" name="Control 5" hidden="1">
              <a:extLst>
                <a:ext uri="{63B3BB69-23CF-44E3-9099-C40C66FF867C}">
                  <a14:compatExt spid="_x0000_s12293"/>
                </a:ext>
                <a:ext uri="{FF2B5EF4-FFF2-40B4-BE49-F238E27FC236}">
                  <a16:creationId xmlns:a16="http://schemas.microsoft.com/office/drawing/2014/main" id="{43B82086-4054-7E60-66F5-C0066C19E5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0</xdr:col>
          <xdr:colOff>914400</xdr:colOff>
          <xdr:row>22</xdr:row>
          <xdr:rowOff>45720</xdr:rowOff>
        </xdr:to>
        <xdr:sp macro="" textlink="">
          <xdr:nvSpPr>
            <xdr:cNvPr id="12294" name="Control 6" hidden="1">
              <a:extLst>
                <a:ext uri="{63B3BB69-23CF-44E3-9099-C40C66FF867C}">
                  <a14:compatExt spid="_x0000_s12294"/>
                </a:ext>
                <a:ext uri="{FF2B5EF4-FFF2-40B4-BE49-F238E27FC236}">
                  <a16:creationId xmlns:a16="http://schemas.microsoft.com/office/drawing/2014/main" id="{0B94C7C6-92A3-E170-025F-45F7E1DCCF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0</xdr:col>
          <xdr:colOff>914400</xdr:colOff>
          <xdr:row>34</xdr:row>
          <xdr:rowOff>45720</xdr:rowOff>
        </xdr:to>
        <xdr:sp macro="" textlink="">
          <xdr:nvSpPr>
            <xdr:cNvPr id="12295" name="Control 7" hidden="1">
              <a:extLst>
                <a:ext uri="{63B3BB69-23CF-44E3-9099-C40C66FF867C}">
                  <a14:compatExt spid="_x0000_s12295"/>
                </a:ext>
                <a:ext uri="{FF2B5EF4-FFF2-40B4-BE49-F238E27FC236}">
                  <a16:creationId xmlns:a16="http://schemas.microsoft.com/office/drawing/2014/main" id="{05CF160B-7081-5D5A-2F39-CEBAD06DD8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914400</xdr:colOff>
          <xdr:row>37</xdr:row>
          <xdr:rowOff>45720</xdr:rowOff>
        </xdr:to>
        <xdr:sp macro="" textlink="">
          <xdr:nvSpPr>
            <xdr:cNvPr id="12296" name="Control 8" hidden="1">
              <a:extLst>
                <a:ext uri="{63B3BB69-23CF-44E3-9099-C40C66FF867C}">
                  <a14:compatExt spid="_x0000_s12296"/>
                </a:ext>
                <a:ext uri="{FF2B5EF4-FFF2-40B4-BE49-F238E27FC236}">
                  <a16:creationId xmlns:a16="http://schemas.microsoft.com/office/drawing/2014/main" id="{C7D90948-FFD0-5FFA-B8C1-229D534B41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914400</xdr:colOff>
          <xdr:row>43</xdr:row>
          <xdr:rowOff>45720</xdr:rowOff>
        </xdr:to>
        <xdr:sp macro="" textlink="">
          <xdr:nvSpPr>
            <xdr:cNvPr id="12297" name="Control 9" hidden="1">
              <a:extLst>
                <a:ext uri="{63B3BB69-23CF-44E3-9099-C40C66FF867C}">
                  <a14:compatExt spid="_x0000_s12297"/>
                </a:ext>
                <a:ext uri="{FF2B5EF4-FFF2-40B4-BE49-F238E27FC236}">
                  <a16:creationId xmlns:a16="http://schemas.microsoft.com/office/drawing/2014/main" id="{707F23CE-5F43-ED85-103B-E649C3FBF8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0</xdr:col>
          <xdr:colOff>914400</xdr:colOff>
          <xdr:row>4</xdr:row>
          <xdr:rowOff>45720</xdr:rowOff>
        </xdr:to>
        <xdr:sp macro="" textlink="">
          <xdr:nvSpPr>
            <xdr:cNvPr id="12298" name="Control 10" hidden="1">
              <a:extLst>
                <a:ext uri="{63B3BB69-23CF-44E3-9099-C40C66FF867C}">
                  <a14:compatExt spid="_x0000_s12298"/>
                </a:ext>
                <a:ext uri="{FF2B5EF4-FFF2-40B4-BE49-F238E27FC236}">
                  <a16:creationId xmlns:a16="http://schemas.microsoft.com/office/drawing/2014/main" id="{5ABD4DBE-519A-91BF-F052-8AC005BEF2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0</xdr:col>
          <xdr:colOff>914400</xdr:colOff>
          <xdr:row>7</xdr:row>
          <xdr:rowOff>45720</xdr:rowOff>
        </xdr:to>
        <xdr:sp macro="" textlink="">
          <xdr:nvSpPr>
            <xdr:cNvPr id="12299" name="Control 11" hidden="1">
              <a:extLst>
                <a:ext uri="{63B3BB69-23CF-44E3-9099-C40C66FF867C}">
                  <a14:compatExt spid="_x0000_s12299"/>
                </a:ext>
                <a:ext uri="{FF2B5EF4-FFF2-40B4-BE49-F238E27FC236}">
                  <a16:creationId xmlns:a16="http://schemas.microsoft.com/office/drawing/2014/main" id="{349CF47A-3F3F-50ED-90D6-5C7AC452E2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914400</xdr:colOff>
          <xdr:row>13</xdr:row>
          <xdr:rowOff>45720</xdr:rowOff>
        </xdr:to>
        <xdr:sp macro="" textlink="">
          <xdr:nvSpPr>
            <xdr:cNvPr id="12300" name="Control 12" hidden="1">
              <a:extLst>
                <a:ext uri="{63B3BB69-23CF-44E3-9099-C40C66FF867C}">
                  <a14:compatExt spid="_x0000_s12300"/>
                </a:ext>
                <a:ext uri="{FF2B5EF4-FFF2-40B4-BE49-F238E27FC236}">
                  <a16:creationId xmlns:a16="http://schemas.microsoft.com/office/drawing/2014/main" id="{817D51FC-EE1C-035F-A132-3054174269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0</xdr:col>
          <xdr:colOff>914400</xdr:colOff>
          <xdr:row>16</xdr:row>
          <xdr:rowOff>45720</xdr:rowOff>
        </xdr:to>
        <xdr:sp macro="" textlink="">
          <xdr:nvSpPr>
            <xdr:cNvPr id="12301" name="Control 13" hidden="1">
              <a:extLst>
                <a:ext uri="{63B3BB69-23CF-44E3-9099-C40C66FF867C}">
                  <a14:compatExt spid="_x0000_s12301"/>
                </a:ext>
                <a:ext uri="{FF2B5EF4-FFF2-40B4-BE49-F238E27FC236}">
                  <a16:creationId xmlns:a16="http://schemas.microsoft.com/office/drawing/2014/main" id="{AA5627D3-E7D3-5382-709E-C595231853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914400</xdr:colOff>
          <xdr:row>19</xdr:row>
          <xdr:rowOff>45720</xdr:rowOff>
        </xdr:to>
        <xdr:sp macro="" textlink="">
          <xdr:nvSpPr>
            <xdr:cNvPr id="12302" name="Control 14" hidden="1">
              <a:extLst>
                <a:ext uri="{63B3BB69-23CF-44E3-9099-C40C66FF867C}">
                  <a14:compatExt spid="_x0000_s12302"/>
                </a:ext>
                <a:ext uri="{FF2B5EF4-FFF2-40B4-BE49-F238E27FC236}">
                  <a16:creationId xmlns:a16="http://schemas.microsoft.com/office/drawing/2014/main" id="{4DD6D27C-3B06-F055-A17D-F359BAA282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0</xdr:col>
          <xdr:colOff>914400</xdr:colOff>
          <xdr:row>22</xdr:row>
          <xdr:rowOff>45720</xdr:rowOff>
        </xdr:to>
        <xdr:sp macro="" textlink="">
          <xdr:nvSpPr>
            <xdr:cNvPr id="12303" name="Control 15" hidden="1">
              <a:extLst>
                <a:ext uri="{63B3BB69-23CF-44E3-9099-C40C66FF867C}">
                  <a14:compatExt spid="_x0000_s12303"/>
                </a:ext>
                <a:ext uri="{FF2B5EF4-FFF2-40B4-BE49-F238E27FC236}">
                  <a16:creationId xmlns:a16="http://schemas.microsoft.com/office/drawing/2014/main" id="{667F46AC-C7A3-57F2-129A-C023758426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0</xdr:col>
          <xdr:colOff>914400</xdr:colOff>
          <xdr:row>34</xdr:row>
          <xdr:rowOff>45720</xdr:rowOff>
        </xdr:to>
        <xdr:sp macro="" textlink="">
          <xdr:nvSpPr>
            <xdr:cNvPr id="12304" name="Control 16" hidden="1">
              <a:extLst>
                <a:ext uri="{63B3BB69-23CF-44E3-9099-C40C66FF867C}">
                  <a14:compatExt spid="_x0000_s12304"/>
                </a:ext>
                <a:ext uri="{FF2B5EF4-FFF2-40B4-BE49-F238E27FC236}">
                  <a16:creationId xmlns:a16="http://schemas.microsoft.com/office/drawing/2014/main" id="{D032F116-B77C-284A-D3EE-2AF7A9E2AB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914400</xdr:colOff>
          <xdr:row>37</xdr:row>
          <xdr:rowOff>45720</xdr:rowOff>
        </xdr:to>
        <xdr:sp macro="" textlink="">
          <xdr:nvSpPr>
            <xdr:cNvPr id="12305" name="Control 17" hidden="1">
              <a:extLst>
                <a:ext uri="{63B3BB69-23CF-44E3-9099-C40C66FF867C}">
                  <a14:compatExt spid="_x0000_s12305"/>
                </a:ext>
                <a:ext uri="{FF2B5EF4-FFF2-40B4-BE49-F238E27FC236}">
                  <a16:creationId xmlns:a16="http://schemas.microsoft.com/office/drawing/2014/main" id="{5F17FAB3-42FF-C641-DC47-E6CA58CF92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914400</xdr:colOff>
          <xdr:row>43</xdr:row>
          <xdr:rowOff>45720</xdr:rowOff>
        </xdr:to>
        <xdr:sp macro="" textlink="">
          <xdr:nvSpPr>
            <xdr:cNvPr id="12306" name="Control 18" hidden="1">
              <a:extLst>
                <a:ext uri="{63B3BB69-23CF-44E3-9099-C40C66FF867C}">
                  <a14:compatExt spid="_x0000_s12306"/>
                </a:ext>
                <a:ext uri="{FF2B5EF4-FFF2-40B4-BE49-F238E27FC236}">
                  <a16:creationId xmlns:a16="http://schemas.microsoft.com/office/drawing/2014/main" id="{E7B01B02-429A-6D2F-861E-BE4CCF48053D}"/>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0</xdr:col>
          <xdr:colOff>914400</xdr:colOff>
          <xdr:row>6</xdr:row>
          <xdr:rowOff>45720</xdr:rowOff>
        </xdr:to>
        <xdr:sp macro="" textlink="">
          <xdr:nvSpPr>
            <xdr:cNvPr id="11267" name="Control 3" hidden="1">
              <a:extLst>
                <a:ext uri="{63B3BB69-23CF-44E3-9099-C40C66FF867C}">
                  <a14:compatExt spid="_x0000_s11267"/>
                </a:ext>
                <a:ext uri="{FF2B5EF4-FFF2-40B4-BE49-F238E27FC236}">
                  <a16:creationId xmlns:a16="http://schemas.microsoft.com/office/drawing/2014/main" id="{46659342-BBDD-67E9-AFED-D5C438EBD3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0</xdr:col>
          <xdr:colOff>914400</xdr:colOff>
          <xdr:row>9</xdr:row>
          <xdr:rowOff>45720</xdr:rowOff>
        </xdr:to>
        <xdr:sp macro="" textlink="">
          <xdr:nvSpPr>
            <xdr:cNvPr id="11268" name="Control 4" hidden="1">
              <a:extLst>
                <a:ext uri="{63B3BB69-23CF-44E3-9099-C40C66FF867C}">
                  <a14:compatExt spid="_x0000_s11268"/>
                </a:ext>
                <a:ext uri="{FF2B5EF4-FFF2-40B4-BE49-F238E27FC236}">
                  <a16:creationId xmlns:a16="http://schemas.microsoft.com/office/drawing/2014/main" id="{7C9276C9-0F13-E24D-B1E6-17556C8AE1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12</xdr:row>
          <xdr:rowOff>45720</xdr:rowOff>
        </xdr:to>
        <xdr:sp macro="" textlink="">
          <xdr:nvSpPr>
            <xdr:cNvPr id="11269" name="Control 5" hidden="1">
              <a:extLst>
                <a:ext uri="{63B3BB69-23CF-44E3-9099-C40C66FF867C}">
                  <a14:compatExt spid="_x0000_s11269"/>
                </a:ext>
                <a:ext uri="{FF2B5EF4-FFF2-40B4-BE49-F238E27FC236}">
                  <a16:creationId xmlns:a16="http://schemas.microsoft.com/office/drawing/2014/main" id="{6A4F5336-38D9-A669-4D08-053879CFFD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0</xdr:col>
          <xdr:colOff>914400</xdr:colOff>
          <xdr:row>15</xdr:row>
          <xdr:rowOff>45720</xdr:rowOff>
        </xdr:to>
        <xdr:sp macro="" textlink="">
          <xdr:nvSpPr>
            <xdr:cNvPr id="11270" name="Control 6" hidden="1">
              <a:extLst>
                <a:ext uri="{63B3BB69-23CF-44E3-9099-C40C66FF867C}">
                  <a14:compatExt spid="_x0000_s11270"/>
                </a:ext>
                <a:ext uri="{FF2B5EF4-FFF2-40B4-BE49-F238E27FC236}">
                  <a16:creationId xmlns:a16="http://schemas.microsoft.com/office/drawing/2014/main" id="{D500DB94-C9EB-0EC3-FAC3-772E3E34F7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0</xdr:col>
          <xdr:colOff>914400</xdr:colOff>
          <xdr:row>18</xdr:row>
          <xdr:rowOff>45720</xdr:rowOff>
        </xdr:to>
        <xdr:sp macro="" textlink="">
          <xdr:nvSpPr>
            <xdr:cNvPr id="11271" name="Control 7" hidden="1">
              <a:extLst>
                <a:ext uri="{63B3BB69-23CF-44E3-9099-C40C66FF867C}">
                  <a14:compatExt spid="_x0000_s11271"/>
                </a:ext>
                <a:ext uri="{FF2B5EF4-FFF2-40B4-BE49-F238E27FC236}">
                  <a16:creationId xmlns:a16="http://schemas.microsoft.com/office/drawing/2014/main" id="{2B943ED8-189B-1CE8-5C0F-52E6F996D6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914400</xdr:colOff>
          <xdr:row>21</xdr:row>
          <xdr:rowOff>45720</xdr:rowOff>
        </xdr:to>
        <xdr:sp macro="" textlink="">
          <xdr:nvSpPr>
            <xdr:cNvPr id="11272" name="Control 8" hidden="1">
              <a:extLst>
                <a:ext uri="{63B3BB69-23CF-44E3-9099-C40C66FF867C}">
                  <a14:compatExt spid="_x0000_s11272"/>
                </a:ext>
                <a:ext uri="{FF2B5EF4-FFF2-40B4-BE49-F238E27FC236}">
                  <a16:creationId xmlns:a16="http://schemas.microsoft.com/office/drawing/2014/main" id="{19EE41E1-52EB-5320-C811-59334FF547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0</xdr:col>
          <xdr:colOff>914400</xdr:colOff>
          <xdr:row>24</xdr:row>
          <xdr:rowOff>45720</xdr:rowOff>
        </xdr:to>
        <xdr:sp macro="" textlink="">
          <xdr:nvSpPr>
            <xdr:cNvPr id="11273" name="Control 9" hidden="1">
              <a:extLst>
                <a:ext uri="{63B3BB69-23CF-44E3-9099-C40C66FF867C}">
                  <a14:compatExt spid="_x0000_s11273"/>
                </a:ext>
                <a:ext uri="{FF2B5EF4-FFF2-40B4-BE49-F238E27FC236}">
                  <a16:creationId xmlns:a16="http://schemas.microsoft.com/office/drawing/2014/main" id="{2E6A0943-D5B4-3E2A-5F29-C80CBBC3EA4D}"/>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52</xdr:row>
      <xdr:rowOff>0</xdr:rowOff>
    </xdr:from>
    <xdr:to>
      <xdr:col>0</xdr:col>
      <xdr:colOff>4762500</xdr:colOff>
      <xdr:row>78</xdr:row>
      <xdr:rowOff>7620</xdr:rowOff>
    </xdr:to>
    <xdr:pic>
      <xdr:nvPicPr>
        <xdr:cNvPr id="3" name="Picture 2" descr="Seva">
          <a:extLst>
            <a:ext uri="{FF2B5EF4-FFF2-40B4-BE49-F238E27FC236}">
              <a16:creationId xmlns:a16="http://schemas.microsoft.com/office/drawing/2014/main" id="{D536A26E-A1D2-4A8E-106A-C9624DE9E5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460700"/>
          <a:ext cx="4762500" cy="476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502920</xdr:colOff>
      <xdr:row>52</xdr:row>
      <xdr:rowOff>0</xdr:rowOff>
    </xdr:from>
    <xdr:to>
      <xdr:col>8</xdr:col>
      <xdr:colOff>198120</xdr:colOff>
      <xdr:row>53</xdr:row>
      <xdr:rowOff>121920</xdr:rowOff>
    </xdr:to>
    <xdr:sp macro="" textlink="">
      <xdr:nvSpPr>
        <xdr:cNvPr id="11275" name="AutoShape 11">
          <a:extLst>
            <a:ext uri="{FF2B5EF4-FFF2-40B4-BE49-F238E27FC236}">
              <a16:creationId xmlns:a16="http://schemas.microsoft.com/office/drawing/2014/main" id="{BC0323C7-FC8D-D95C-CCD8-CF3A596C68DA}"/>
            </a:ext>
          </a:extLst>
        </xdr:cNvPr>
        <xdr:cNvSpPr>
          <a:spLocks noChangeAspect="1" noChangeArrowheads="1"/>
        </xdr:cNvSpPr>
      </xdr:nvSpPr>
      <xdr:spPr bwMode="auto">
        <a:xfrm>
          <a:off x="4770120" y="284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xdr:row>
          <xdr:rowOff>0</xdr:rowOff>
        </xdr:from>
        <xdr:to>
          <xdr:col>1</xdr:col>
          <xdr:colOff>304800</xdr:colOff>
          <xdr:row>5</xdr:row>
          <xdr:rowOff>45720</xdr:rowOff>
        </xdr:to>
        <xdr:sp macro="" textlink="">
          <xdr:nvSpPr>
            <xdr:cNvPr id="13313" name="Control 1" hidden="1">
              <a:extLst>
                <a:ext uri="{63B3BB69-23CF-44E3-9099-C40C66FF867C}">
                  <a14:compatExt spid="_x0000_s13313"/>
                </a:ext>
                <a:ext uri="{FF2B5EF4-FFF2-40B4-BE49-F238E27FC236}">
                  <a16:creationId xmlns:a16="http://schemas.microsoft.com/office/drawing/2014/main" id="{9D9A06F5-A9AA-422C-67F0-ADCBE57685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1</xdr:col>
          <xdr:colOff>304800</xdr:colOff>
          <xdr:row>12</xdr:row>
          <xdr:rowOff>45720</xdr:rowOff>
        </xdr:to>
        <xdr:sp macro="" textlink="">
          <xdr:nvSpPr>
            <xdr:cNvPr id="13314" name="Control 2" hidden="1">
              <a:extLst>
                <a:ext uri="{63B3BB69-23CF-44E3-9099-C40C66FF867C}">
                  <a14:compatExt spid="_x0000_s13314"/>
                </a:ext>
                <a:ext uri="{FF2B5EF4-FFF2-40B4-BE49-F238E27FC236}">
                  <a16:creationId xmlns:a16="http://schemas.microsoft.com/office/drawing/2014/main" id="{1353E865-78FA-EEE4-F55E-D8B09FEAAA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1</xdr:col>
          <xdr:colOff>304800</xdr:colOff>
          <xdr:row>17</xdr:row>
          <xdr:rowOff>45720</xdr:rowOff>
        </xdr:to>
        <xdr:sp macro="" textlink="">
          <xdr:nvSpPr>
            <xdr:cNvPr id="13315" name="Control 3" hidden="1">
              <a:extLst>
                <a:ext uri="{63B3BB69-23CF-44E3-9099-C40C66FF867C}">
                  <a14:compatExt spid="_x0000_s13315"/>
                </a:ext>
                <a:ext uri="{FF2B5EF4-FFF2-40B4-BE49-F238E27FC236}">
                  <a16:creationId xmlns:a16="http://schemas.microsoft.com/office/drawing/2014/main" id="{DF8FCB2D-CE04-3569-FDBB-A3F47D62B9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1</xdr:col>
          <xdr:colOff>304800</xdr:colOff>
          <xdr:row>20</xdr:row>
          <xdr:rowOff>45720</xdr:rowOff>
        </xdr:to>
        <xdr:sp macro="" textlink="">
          <xdr:nvSpPr>
            <xdr:cNvPr id="13316" name="Control 4" hidden="1">
              <a:extLst>
                <a:ext uri="{63B3BB69-23CF-44E3-9099-C40C66FF867C}">
                  <a14:compatExt spid="_x0000_s13316"/>
                </a:ext>
                <a:ext uri="{FF2B5EF4-FFF2-40B4-BE49-F238E27FC236}">
                  <a16:creationId xmlns:a16="http://schemas.microsoft.com/office/drawing/2014/main" id="{3F67E7B5-3B02-3CF2-60D1-9B55EAC085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1</xdr:col>
          <xdr:colOff>304800</xdr:colOff>
          <xdr:row>25</xdr:row>
          <xdr:rowOff>45720</xdr:rowOff>
        </xdr:to>
        <xdr:sp macro="" textlink="">
          <xdr:nvSpPr>
            <xdr:cNvPr id="13317" name="Control 5" hidden="1">
              <a:extLst>
                <a:ext uri="{63B3BB69-23CF-44E3-9099-C40C66FF867C}">
                  <a14:compatExt spid="_x0000_s13317"/>
                </a:ext>
                <a:ext uri="{FF2B5EF4-FFF2-40B4-BE49-F238E27FC236}">
                  <a16:creationId xmlns:a16="http://schemas.microsoft.com/office/drawing/2014/main" id="{853591CB-B76F-9319-2520-A2CDF218CE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1</xdr:col>
          <xdr:colOff>304800</xdr:colOff>
          <xdr:row>30</xdr:row>
          <xdr:rowOff>45720</xdr:rowOff>
        </xdr:to>
        <xdr:sp macro="" textlink="">
          <xdr:nvSpPr>
            <xdr:cNvPr id="13318" name="Control 6" hidden="1">
              <a:extLst>
                <a:ext uri="{63B3BB69-23CF-44E3-9099-C40C66FF867C}">
                  <a14:compatExt spid="_x0000_s13318"/>
                </a:ext>
                <a:ext uri="{FF2B5EF4-FFF2-40B4-BE49-F238E27FC236}">
                  <a16:creationId xmlns:a16="http://schemas.microsoft.com/office/drawing/2014/main" id="{464CB766-E70E-2622-44E1-60F92BD6CD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1</xdr:col>
          <xdr:colOff>304800</xdr:colOff>
          <xdr:row>35</xdr:row>
          <xdr:rowOff>45720</xdr:rowOff>
        </xdr:to>
        <xdr:sp macro="" textlink="">
          <xdr:nvSpPr>
            <xdr:cNvPr id="13319" name="Control 7" hidden="1">
              <a:extLst>
                <a:ext uri="{63B3BB69-23CF-44E3-9099-C40C66FF867C}">
                  <a14:compatExt spid="_x0000_s13319"/>
                </a:ext>
                <a:ext uri="{FF2B5EF4-FFF2-40B4-BE49-F238E27FC236}">
                  <a16:creationId xmlns:a16="http://schemas.microsoft.com/office/drawing/2014/main" id="{80A4F21D-1CAA-7D56-D095-420C0E391E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304800</xdr:colOff>
          <xdr:row>39</xdr:row>
          <xdr:rowOff>45720</xdr:rowOff>
        </xdr:to>
        <xdr:sp macro="" textlink="">
          <xdr:nvSpPr>
            <xdr:cNvPr id="13320" name="Control 8" hidden="1">
              <a:extLst>
                <a:ext uri="{63B3BB69-23CF-44E3-9099-C40C66FF867C}">
                  <a14:compatExt spid="_x0000_s13320"/>
                </a:ext>
                <a:ext uri="{FF2B5EF4-FFF2-40B4-BE49-F238E27FC236}">
                  <a16:creationId xmlns:a16="http://schemas.microsoft.com/office/drawing/2014/main" id="{3CD74B67-31B5-B2BE-28F2-30C277F651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1</xdr:col>
          <xdr:colOff>304800</xdr:colOff>
          <xdr:row>42</xdr:row>
          <xdr:rowOff>45720</xdr:rowOff>
        </xdr:to>
        <xdr:sp macro="" textlink="">
          <xdr:nvSpPr>
            <xdr:cNvPr id="13321" name="Control 9" hidden="1">
              <a:extLst>
                <a:ext uri="{63B3BB69-23CF-44E3-9099-C40C66FF867C}">
                  <a14:compatExt spid="_x0000_s13321"/>
                </a:ext>
                <a:ext uri="{FF2B5EF4-FFF2-40B4-BE49-F238E27FC236}">
                  <a16:creationId xmlns:a16="http://schemas.microsoft.com/office/drawing/2014/main" id="{2A3526D0-BEAE-B69E-CC6F-396986A592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304800</xdr:colOff>
          <xdr:row>47</xdr:row>
          <xdr:rowOff>45720</xdr:rowOff>
        </xdr:to>
        <xdr:sp macro="" textlink="">
          <xdr:nvSpPr>
            <xdr:cNvPr id="13322" name="Control 10" hidden="1">
              <a:extLst>
                <a:ext uri="{63B3BB69-23CF-44E3-9099-C40C66FF867C}">
                  <a14:compatExt spid="_x0000_s13322"/>
                </a:ext>
                <a:ext uri="{FF2B5EF4-FFF2-40B4-BE49-F238E27FC236}">
                  <a16:creationId xmlns:a16="http://schemas.microsoft.com/office/drawing/2014/main" id="{C6FD0E24-0DD8-CB58-D95C-287955CEED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1</xdr:col>
          <xdr:colOff>304800</xdr:colOff>
          <xdr:row>52</xdr:row>
          <xdr:rowOff>45720</xdr:rowOff>
        </xdr:to>
        <xdr:sp macro="" textlink="">
          <xdr:nvSpPr>
            <xdr:cNvPr id="13323" name="Control 11" hidden="1">
              <a:extLst>
                <a:ext uri="{63B3BB69-23CF-44E3-9099-C40C66FF867C}">
                  <a14:compatExt spid="_x0000_s13323"/>
                </a:ext>
                <a:ext uri="{FF2B5EF4-FFF2-40B4-BE49-F238E27FC236}">
                  <a16:creationId xmlns:a16="http://schemas.microsoft.com/office/drawing/2014/main" id="{AD3CA4B4-D51E-A0B8-7DFE-5C1FB44968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1</xdr:col>
          <xdr:colOff>304800</xdr:colOff>
          <xdr:row>55</xdr:row>
          <xdr:rowOff>45720</xdr:rowOff>
        </xdr:to>
        <xdr:sp macro="" textlink="">
          <xdr:nvSpPr>
            <xdr:cNvPr id="13324" name="Control 12" hidden="1">
              <a:extLst>
                <a:ext uri="{63B3BB69-23CF-44E3-9099-C40C66FF867C}">
                  <a14:compatExt spid="_x0000_s13324"/>
                </a:ext>
                <a:ext uri="{FF2B5EF4-FFF2-40B4-BE49-F238E27FC236}">
                  <a16:creationId xmlns:a16="http://schemas.microsoft.com/office/drawing/2014/main" id="{B297577E-19C8-77B3-0452-B7D016E074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xdr:row>
          <xdr:rowOff>0</xdr:rowOff>
        </xdr:from>
        <xdr:to>
          <xdr:col>1</xdr:col>
          <xdr:colOff>304800</xdr:colOff>
          <xdr:row>60</xdr:row>
          <xdr:rowOff>45720</xdr:rowOff>
        </xdr:to>
        <xdr:sp macro="" textlink="">
          <xdr:nvSpPr>
            <xdr:cNvPr id="13325" name="Control 13" hidden="1">
              <a:extLst>
                <a:ext uri="{63B3BB69-23CF-44E3-9099-C40C66FF867C}">
                  <a14:compatExt spid="_x0000_s13325"/>
                </a:ext>
                <a:ext uri="{FF2B5EF4-FFF2-40B4-BE49-F238E27FC236}">
                  <a16:creationId xmlns:a16="http://schemas.microsoft.com/office/drawing/2014/main" id="{F4780BC6-605F-1BA8-8276-95E067E88F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304800</xdr:colOff>
          <xdr:row>63</xdr:row>
          <xdr:rowOff>45720</xdr:rowOff>
        </xdr:to>
        <xdr:sp macro="" textlink="">
          <xdr:nvSpPr>
            <xdr:cNvPr id="13326" name="Control 14" hidden="1">
              <a:extLst>
                <a:ext uri="{63B3BB69-23CF-44E3-9099-C40C66FF867C}">
                  <a14:compatExt spid="_x0000_s13326"/>
                </a:ext>
                <a:ext uri="{FF2B5EF4-FFF2-40B4-BE49-F238E27FC236}">
                  <a16:creationId xmlns:a16="http://schemas.microsoft.com/office/drawing/2014/main" id="{3B319D97-09E1-37CC-BE67-80BC31A4A9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304800</xdr:colOff>
          <xdr:row>70</xdr:row>
          <xdr:rowOff>45720</xdr:rowOff>
        </xdr:to>
        <xdr:sp macro="" textlink="">
          <xdr:nvSpPr>
            <xdr:cNvPr id="13327" name="Control 15" hidden="1">
              <a:extLst>
                <a:ext uri="{63B3BB69-23CF-44E3-9099-C40C66FF867C}">
                  <a14:compatExt spid="_x0000_s13327"/>
                </a:ext>
                <a:ext uri="{FF2B5EF4-FFF2-40B4-BE49-F238E27FC236}">
                  <a16:creationId xmlns:a16="http://schemas.microsoft.com/office/drawing/2014/main" id="{920AB73C-2B1A-A7E3-73EA-B16E24F739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xdr:row>
          <xdr:rowOff>0</xdr:rowOff>
        </xdr:from>
        <xdr:to>
          <xdr:col>1</xdr:col>
          <xdr:colOff>304800</xdr:colOff>
          <xdr:row>75</xdr:row>
          <xdr:rowOff>45720</xdr:rowOff>
        </xdr:to>
        <xdr:sp macro="" textlink="">
          <xdr:nvSpPr>
            <xdr:cNvPr id="13328" name="Control 16" hidden="1">
              <a:extLst>
                <a:ext uri="{63B3BB69-23CF-44E3-9099-C40C66FF867C}">
                  <a14:compatExt spid="_x0000_s13328"/>
                </a:ext>
                <a:ext uri="{FF2B5EF4-FFF2-40B4-BE49-F238E27FC236}">
                  <a16:creationId xmlns:a16="http://schemas.microsoft.com/office/drawing/2014/main" id="{99699FFA-6736-0B3D-E074-9A2718E4DD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77</xdr:row>
          <xdr:rowOff>0</xdr:rowOff>
        </xdr:from>
        <xdr:to>
          <xdr:col>1</xdr:col>
          <xdr:colOff>304800</xdr:colOff>
          <xdr:row>78</xdr:row>
          <xdr:rowOff>45720</xdr:rowOff>
        </xdr:to>
        <xdr:sp macro="" textlink="">
          <xdr:nvSpPr>
            <xdr:cNvPr id="13329" name="Control 17" hidden="1">
              <a:extLst>
                <a:ext uri="{63B3BB69-23CF-44E3-9099-C40C66FF867C}">
                  <a14:compatExt spid="_x0000_s13329"/>
                </a:ext>
                <a:ext uri="{FF2B5EF4-FFF2-40B4-BE49-F238E27FC236}">
                  <a16:creationId xmlns:a16="http://schemas.microsoft.com/office/drawing/2014/main" id="{D3E35F86-5680-49C0-FAF5-C84602FC62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0</xdr:rowOff>
        </xdr:from>
        <xdr:to>
          <xdr:col>1</xdr:col>
          <xdr:colOff>304800</xdr:colOff>
          <xdr:row>81</xdr:row>
          <xdr:rowOff>45720</xdr:rowOff>
        </xdr:to>
        <xdr:sp macro="" textlink="">
          <xdr:nvSpPr>
            <xdr:cNvPr id="13330" name="Control 18" hidden="1">
              <a:extLst>
                <a:ext uri="{63B3BB69-23CF-44E3-9099-C40C66FF867C}">
                  <a14:compatExt spid="_x0000_s13330"/>
                </a:ext>
                <a:ext uri="{FF2B5EF4-FFF2-40B4-BE49-F238E27FC236}">
                  <a16:creationId xmlns:a16="http://schemas.microsoft.com/office/drawing/2014/main" id="{030694BB-A8EB-3E4A-BE61-E0CF648D6C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90</xdr:row>
          <xdr:rowOff>0</xdr:rowOff>
        </xdr:from>
        <xdr:to>
          <xdr:col>1</xdr:col>
          <xdr:colOff>304800</xdr:colOff>
          <xdr:row>91</xdr:row>
          <xdr:rowOff>45720</xdr:rowOff>
        </xdr:to>
        <xdr:sp macro="" textlink="">
          <xdr:nvSpPr>
            <xdr:cNvPr id="13331" name="Control 19" hidden="1">
              <a:extLst>
                <a:ext uri="{63B3BB69-23CF-44E3-9099-C40C66FF867C}">
                  <a14:compatExt spid="_x0000_s13331"/>
                </a:ext>
                <a:ext uri="{FF2B5EF4-FFF2-40B4-BE49-F238E27FC236}">
                  <a16:creationId xmlns:a16="http://schemas.microsoft.com/office/drawing/2014/main" id="{A80554EC-0ECF-83C0-43BB-5BCF6744AE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304800</xdr:colOff>
          <xdr:row>94</xdr:row>
          <xdr:rowOff>45720</xdr:rowOff>
        </xdr:to>
        <xdr:sp macro="" textlink="">
          <xdr:nvSpPr>
            <xdr:cNvPr id="13332" name="Control 20" hidden="1">
              <a:extLst>
                <a:ext uri="{63B3BB69-23CF-44E3-9099-C40C66FF867C}">
                  <a14:compatExt spid="_x0000_s13332"/>
                </a:ext>
                <a:ext uri="{FF2B5EF4-FFF2-40B4-BE49-F238E27FC236}">
                  <a16:creationId xmlns:a16="http://schemas.microsoft.com/office/drawing/2014/main" id="{7C78F73F-E1D3-D362-113E-71053BB565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xdr:row>
          <xdr:rowOff>0</xdr:rowOff>
        </xdr:from>
        <xdr:to>
          <xdr:col>1</xdr:col>
          <xdr:colOff>304800</xdr:colOff>
          <xdr:row>99</xdr:row>
          <xdr:rowOff>45720</xdr:rowOff>
        </xdr:to>
        <xdr:sp macro="" textlink="">
          <xdr:nvSpPr>
            <xdr:cNvPr id="13333" name="Control 21" hidden="1">
              <a:extLst>
                <a:ext uri="{63B3BB69-23CF-44E3-9099-C40C66FF867C}">
                  <a14:compatExt spid="_x0000_s13333"/>
                </a:ext>
                <a:ext uri="{FF2B5EF4-FFF2-40B4-BE49-F238E27FC236}">
                  <a16:creationId xmlns:a16="http://schemas.microsoft.com/office/drawing/2014/main" id="{A95084AB-8EA6-4435-E52D-A351EBD0BA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101</xdr:row>
          <xdr:rowOff>0</xdr:rowOff>
        </xdr:from>
        <xdr:to>
          <xdr:col>1</xdr:col>
          <xdr:colOff>304800</xdr:colOff>
          <xdr:row>102</xdr:row>
          <xdr:rowOff>45720</xdr:rowOff>
        </xdr:to>
        <xdr:sp macro="" textlink="">
          <xdr:nvSpPr>
            <xdr:cNvPr id="13334" name="Control 22" hidden="1">
              <a:extLst>
                <a:ext uri="{63B3BB69-23CF-44E3-9099-C40C66FF867C}">
                  <a14:compatExt spid="_x0000_s13334"/>
                </a:ext>
                <a:ext uri="{FF2B5EF4-FFF2-40B4-BE49-F238E27FC236}">
                  <a16:creationId xmlns:a16="http://schemas.microsoft.com/office/drawing/2014/main" id="{9DE22FDD-C3B3-07A6-7BEA-ABC8C38185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304800</xdr:colOff>
          <xdr:row>105</xdr:row>
          <xdr:rowOff>45720</xdr:rowOff>
        </xdr:to>
        <xdr:sp macro="" textlink="">
          <xdr:nvSpPr>
            <xdr:cNvPr id="13335" name="Control 23" hidden="1">
              <a:extLst>
                <a:ext uri="{63B3BB69-23CF-44E3-9099-C40C66FF867C}">
                  <a14:compatExt spid="_x0000_s13335"/>
                </a:ext>
                <a:ext uri="{FF2B5EF4-FFF2-40B4-BE49-F238E27FC236}">
                  <a16:creationId xmlns:a16="http://schemas.microsoft.com/office/drawing/2014/main" id="{BC82AEF3-739C-6E57-EE28-C06110DAB5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107</xdr:row>
          <xdr:rowOff>0</xdr:rowOff>
        </xdr:from>
        <xdr:to>
          <xdr:col>1</xdr:col>
          <xdr:colOff>304800</xdr:colOff>
          <xdr:row>108</xdr:row>
          <xdr:rowOff>45720</xdr:rowOff>
        </xdr:to>
        <xdr:sp macro="" textlink="">
          <xdr:nvSpPr>
            <xdr:cNvPr id="13336" name="Control 24" hidden="1">
              <a:extLst>
                <a:ext uri="{63B3BB69-23CF-44E3-9099-C40C66FF867C}">
                  <a14:compatExt spid="_x0000_s13336"/>
                </a:ext>
                <a:ext uri="{FF2B5EF4-FFF2-40B4-BE49-F238E27FC236}">
                  <a16:creationId xmlns:a16="http://schemas.microsoft.com/office/drawing/2014/main" id="{2EBFA40C-1371-57D9-325F-0CAFFB6ECDDF}"/>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5.xml"/><Relationship Id="rId13" Type="http://schemas.openxmlformats.org/officeDocument/2006/relationships/control" Target="../activeX/activeX10.xml"/><Relationship Id="rId18" Type="http://schemas.openxmlformats.org/officeDocument/2006/relationships/control" Target="../activeX/activeX15.xml"/><Relationship Id="rId3" Type="http://schemas.openxmlformats.org/officeDocument/2006/relationships/control" Target="../activeX/activeX1.xml"/><Relationship Id="rId21" Type="http://schemas.openxmlformats.org/officeDocument/2006/relationships/control" Target="../activeX/activeX18.xml"/><Relationship Id="rId7" Type="http://schemas.openxmlformats.org/officeDocument/2006/relationships/control" Target="../activeX/activeX4.xml"/><Relationship Id="rId12" Type="http://schemas.openxmlformats.org/officeDocument/2006/relationships/control" Target="../activeX/activeX9.xml"/><Relationship Id="rId17" Type="http://schemas.openxmlformats.org/officeDocument/2006/relationships/control" Target="../activeX/activeX14.xml"/><Relationship Id="rId2" Type="http://schemas.openxmlformats.org/officeDocument/2006/relationships/vmlDrawing" Target="../drawings/vmlDrawing1.vml"/><Relationship Id="rId16" Type="http://schemas.openxmlformats.org/officeDocument/2006/relationships/control" Target="../activeX/activeX13.xml"/><Relationship Id="rId20" Type="http://schemas.openxmlformats.org/officeDocument/2006/relationships/control" Target="../activeX/activeX17.xml"/><Relationship Id="rId1" Type="http://schemas.openxmlformats.org/officeDocument/2006/relationships/drawing" Target="../drawings/drawing1.xml"/><Relationship Id="rId6" Type="http://schemas.openxmlformats.org/officeDocument/2006/relationships/control" Target="../activeX/activeX3.xml"/><Relationship Id="rId11" Type="http://schemas.openxmlformats.org/officeDocument/2006/relationships/control" Target="../activeX/activeX8.xml"/><Relationship Id="rId5" Type="http://schemas.openxmlformats.org/officeDocument/2006/relationships/control" Target="../activeX/activeX2.xml"/><Relationship Id="rId15" Type="http://schemas.openxmlformats.org/officeDocument/2006/relationships/control" Target="../activeX/activeX12.xml"/><Relationship Id="rId10" Type="http://schemas.openxmlformats.org/officeDocument/2006/relationships/control" Target="../activeX/activeX7.xml"/><Relationship Id="rId19" Type="http://schemas.openxmlformats.org/officeDocument/2006/relationships/control" Target="../activeX/activeX16.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control" Target="../activeX/activeX24.xml"/><Relationship Id="rId3" Type="http://schemas.openxmlformats.org/officeDocument/2006/relationships/hyperlink" Target="https://investor.sebi.gov.in/disclaimer.html" TargetMode="External"/><Relationship Id="rId7" Type="http://schemas.openxmlformats.org/officeDocument/2006/relationships/control" Target="../activeX/activeX19.xml"/><Relationship Id="rId12" Type="http://schemas.openxmlformats.org/officeDocument/2006/relationships/control" Target="../activeX/activeX23.xml"/><Relationship Id="rId2" Type="http://schemas.openxmlformats.org/officeDocument/2006/relationships/hyperlink" Target="https://www.sebi.gov.in/contact-us.html" TargetMode="External"/><Relationship Id="rId1" Type="http://schemas.openxmlformats.org/officeDocument/2006/relationships/hyperlink" Target="https://investor.sebi.gov.in/sitemap.html" TargetMode="External"/><Relationship Id="rId6" Type="http://schemas.openxmlformats.org/officeDocument/2006/relationships/vmlDrawing" Target="../drawings/vmlDrawing4.vml"/><Relationship Id="rId11" Type="http://schemas.openxmlformats.org/officeDocument/2006/relationships/control" Target="../activeX/activeX22.xml"/><Relationship Id="rId5" Type="http://schemas.openxmlformats.org/officeDocument/2006/relationships/drawing" Target="../drawings/drawing2.xml"/><Relationship Id="rId10" Type="http://schemas.openxmlformats.org/officeDocument/2006/relationships/control" Target="../activeX/activeX21.xml"/><Relationship Id="rId4" Type="http://schemas.openxmlformats.org/officeDocument/2006/relationships/hyperlink" Target="https://investor.sebi.gov.in/calculators/Insurance_Calculator_YoungEarners.html" TargetMode="External"/><Relationship Id="rId9" Type="http://schemas.openxmlformats.org/officeDocument/2006/relationships/control" Target="../activeX/activeX20.xml"/><Relationship Id="rId14" Type="http://schemas.openxmlformats.org/officeDocument/2006/relationships/control" Target="../activeX/activeX25.xml"/></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0.xml"/><Relationship Id="rId13" Type="http://schemas.openxmlformats.org/officeDocument/2006/relationships/control" Target="../activeX/activeX35.xml"/><Relationship Id="rId18" Type="http://schemas.openxmlformats.org/officeDocument/2006/relationships/control" Target="../activeX/activeX40.xml"/><Relationship Id="rId26" Type="http://schemas.openxmlformats.org/officeDocument/2006/relationships/control" Target="../activeX/activeX48.xml"/><Relationship Id="rId3" Type="http://schemas.openxmlformats.org/officeDocument/2006/relationships/control" Target="../activeX/activeX26.xml"/><Relationship Id="rId21" Type="http://schemas.openxmlformats.org/officeDocument/2006/relationships/control" Target="../activeX/activeX43.xml"/><Relationship Id="rId7" Type="http://schemas.openxmlformats.org/officeDocument/2006/relationships/control" Target="../activeX/activeX29.xml"/><Relationship Id="rId12" Type="http://schemas.openxmlformats.org/officeDocument/2006/relationships/control" Target="../activeX/activeX34.xml"/><Relationship Id="rId17" Type="http://schemas.openxmlformats.org/officeDocument/2006/relationships/control" Target="../activeX/activeX39.xml"/><Relationship Id="rId25" Type="http://schemas.openxmlformats.org/officeDocument/2006/relationships/control" Target="../activeX/activeX47.xml"/><Relationship Id="rId2" Type="http://schemas.openxmlformats.org/officeDocument/2006/relationships/vmlDrawing" Target="../drawings/vmlDrawing5.vml"/><Relationship Id="rId16" Type="http://schemas.openxmlformats.org/officeDocument/2006/relationships/control" Target="../activeX/activeX38.xml"/><Relationship Id="rId20" Type="http://schemas.openxmlformats.org/officeDocument/2006/relationships/control" Target="../activeX/activeX42.xml"/><Relationship Id="rId1" Type="http://schemas.openxmlformats.org/officeDocument/2006/relationships/drawing" Target="../drawings/drawing3.xml"/><Relationship Id="rId6" Type="http://schemas.openxmlformats.org/officeDocument/2006/relationships/control" Target="../activeX/activeX28.xml"/><Relationship Id="rId11" Type="http://schemas.openxmlformats.org/officeDocument/2006/relationships/control" Target="../activeX/activeX33.xml"/><Relationship Id="rId24" Type="http://schemas.openxmlformats.org/officeDocument/2006/relationships/control" Target="../activeX/activeX46.xml"/><Relationship Id="rId5" Type="http://schemas.openxmlformats.org/officeDocument/2006/relationships/control" Target="../activeX/activeX27.xml"/><Relationship Id="rId15" Type="http://schemas.openxmlformats.org/officeDocument/2006/relationships/control" Target="../activeX/activeX37.xml"/><Relationship Id="rId23" Type="http://schemas.openxmlformats.org/officeDocument/2006/relationships/control" Target="../activeX/activeX45.xml"/><Relationship Id="rId10" Type="http://schemas.openxmlformats.org/officeDocument/2006/relationships/control" Target="../activeX/activeX32.xml"/><Relationship Id="rId19" Type="http://schemas.openxmlformats.org/officeDocument/2006/relationships/control" Target="../activeX/activeX41.xml"/><Relationship Id="rId4" Type="http://schemas.openxmlformats.org/officeDocument/2006/relationships/image" Target="../media/image1.emf"/><Relationship Id="rId9" Type="http://schemas.openxmlformats.org/officeDocument/2006/relationships/control" Target="../activeX/activeX31.xml"/><Relationship Id="rId14" Type="http://schemas.openxmlformats.org/officeDocument/2006/relationships/control" Target="../activeX/activeX36.xml"/><Relationship Id="rId22" Type="http://schemas.openxmlformats.org/officeDocument/2006/relationships/control" Target="../activeX/activeX44.xml"/><Relationship Id="rId27" Type="http://schemas.openxmlformats.org/officeDocument/2006/relationships/control" Target="../activeX/activeX4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17D3-2195-44B3-928B-A03924749A2B}">
  <sheetPr codeName="Sheet3"/>
  <dimension ref="A1:E66"/>
  <sheetViews>
    <sheetView workbookViewId="0">
      <selection activeCell="E1" sqref="E1"/>
    </sheetView>
  </sheetViews>
  <sheetFormatPr defaultRowHeight="14.4"/>
  <cols>
    <col min="1" max="1" width="13.6640625" bestFit="1" customWidth="1"/>
  </cols>
  <sheetData>
    <row r="1" spans="1:5" ht="87" customHeight="1">
      <c r="A1" s="320" t="s">
        <v>619</v>
      </c>
      <c r="E1" t="s">
        <v>637</v>
      </c>
    </row>
    <row r="2" spans="1:5">
      <c r="A2" s="319"/>
    </row>
    <row r="3" spans="1:5" ht="61.2" customHeight="1">
      <c r="A3" s="321" t="s">
        <v>1</v>
      </c>
    </row>
    <row r="4" spans="1:5">
      <c r="A4" s="334"/>
    </row>
    <row r="5" spans="1:5">
      <c r="A5" s="319"/>
    </row>
    <row r="6" spans="1:5" ht="51" customHeight="1">
      <c r="A6" s="321" t="s">
        <v>2</v>
      </c>
    </row>
    <row r="7" spans="1:5">
      <c r="A7" s="334"/>
    </row>
    <row r="8" spans="1:5">
      <c r="A8" s="319"/>
    </row>
    <row r="9" spans="1:5" ht="51" customHeight="1">
      <c r="A9" s="321" t="s">
        <v>3</v>
      </c>
    </row>
    <row r="10" spans="1:5">
      <c r="A10" s="335">
        <v>43333.3</v>
      </c>
    </row>
    <row r="11" spans="1:5">
      <c r="A11" s="319"/>
    </row>
    <row r="12" spans="1:5" ht="40.799999999999997" customHeight="1">
      <c r="A12" s="321" t="s">
        <v>5</v>
      </c>
    </row>
    <row r="13" spans="1:5">
      <c r="A13" s="323" t="s">
        <v>6</v>
      </c>
    </row>
    <row r="14" spans="1:5">
      <c r="A14" s="319"/>
    </row>
    <row r="15" spans="1:5">
      <c r="A15" s="321" t="s">
        <v>7</v>
      </c>
    </row>
    <row r="16" spans="1:5">
      <c r="A16" s="333"/>
    </row>
    <row r="17" spans="1:1">
      <c r="A17" s="319"/>
    </row>
    <row r="18" spans="1:1" ht="30.6" customHeight="1">
      <c r="A18" s="321" t="s">
        <v>8</v>
      </c>
    </row>
    <row r="19" spans="1:1">
      <c r="A19" s="333"/>
    </row>
    <row r="20" spans="1:1">
      <c r="A20" s="319"/>
    </row>
    <row r="21" spans="1:1" ht="30.6" customHeight="1">
      <c r="A21" s="321" t="s">
        <v>9</v>
      </c>
    </row>
    <row r="22" spans="1:1">
      <c r="A22" s="333"/>
    </row>
    <row r="23" spans="1:1">
      <c r="A23" s="319"/>
    </row>
    <row r="24" spans="1:1" ht="20.399999999999999" customHeight="1">
      <c r="A24" s="321" t="s">
        <v>10</v>
      </c>
    </row>
    <row r="25" spans="1:1">
      <c r="A25" s="336">
        <v>25</v>
      </c>
    </row>
    <row r="26" spans="1:1">
      <c r="A26" s="319"/>
    </row>
    <row r="27" spans="1:1" ht="40.799999999999997" customHeight="1">
      <c r="A27" s="321" t="s">
        <v>11</v>
      </c>
    </row>
    <row r="28" spans="1:1">
      <c r="A28" s="337">
        <v>296767</v>
      </c>
    </row>
    <row r="29" spans="1:1">
      <c r="A29" s="319"/>
    </row>
    <row r="30" spans="1:1" ht="20.399999999999999" customHeight="1">
      <c r="A30" s="321" t="s">
        <v>12</v>
      </c>
    </row>
    <row r="31" spans="1:1">
      <c r="A31" s="336">
        <v>20</v>
      </c>
    </row>
    <row r="32" spans="1:1">
      <c r="A32" s="319"/>
    </row>
    <row r="33" spans="1:1" ht="40.799999999999997" customHeight="1">
      <c r="A33" s="321" t="s">
        <v>13</v>
      </c>
    </row>
    <row r="34" spans="1:1">
      <c r="A34" s="323" t="s">
        <v>6</v>
      </c>
    </row>
    <row r="35" spans="1:1">
      <c r="A35" s="319"/>
    </row>
    <row r="36" spans="1:1" ht="51" customHeight="1">
      <c r="A36" s="321" t="s">
        <v>14</v>
      </c>
    </row>
    <row r="37" spans="1:1">
      <c r="A37" s="323" t="s">
        <v>6</v>
      </c>
    </row>
    <row r="38" spans="1:1">
      <c r="A38" s="319"/>
    </row>
    <row r="39" spans="1:1" ht="20.399999999999999">
      <c r="A39" s="321" t="s">
        <v>16</v>
      </c>
    </row>
    <row r="40" spans="1:1">
      <c r="A40" s="337">
        <v>71224080</v>
      </c>
    </row>
    <row r="41" spans="1:1">
      <c r="A41" s="319"/>
    </row>
    <row r="42" spans="1:1" ht="51" customHeight="1">
      <c r="A42" s="321" t="s">
        <v>620</v>
      </c>
    </row>
    <row r="43" spans="1:1">
      <c r="A43" s="323" t="s">
        <v>6</v>
      </c>
    </row>
    <row r="44" spans="1:1">
      <c r="A44" s="319"/>
    </row>
    <row r="45" spans="1:1">
      <c r="A45" s="319"/>
    </row>
    <row r="46" spans="1:1" ht="30.6" customHeight="1">
      <c r="A46" s="321" t="s">
        <v>621</v>
      </c>
    </row>
    <row r="47" spans="1:1">
      <c r="A47" s="337">
        <v>54864</v>
      </c>
    </row>
    <row r="48" spans="1:1">
      <c r="A48" s="321"/>
    </row>
    <row r="49" spans="1:3" ht="30.6">
      <c r="A49" s="342" t="s">
        <v>621</v>
      </c>
      <c r="B49" s="342"/>
      <c r="C49" s="338" t="s">
        <v>622</v>
      </c>
    </row>
    <row r="50" spans="1:3" ht="21" thickBot="1">
      <c r="A50" s="343"/>
      <c r="B50" s="343"/>
      <c r="C50" s="339" t="s">
        <v>623</v>
      </c>
    </row>
    <row r="51" spans="1:3" ht="61.8" thickBot="1">
      <c r="A51" s="340" t="s">
        <v>624</v>
      </c>
      <c r="B51" s="340" t="s">
        <v>1</v>
      </c>
      <c r="C51" s="340" t="s">
        <v>625</v>
      </c>
    </row>
    <row r="52" spans="1:3" ht="21" customHeight="1" thickBot="1">
      <c r="A52" s="340" t="s">
        <v>626</v>
      </c>
      <c r="B52" s="340">
        <v>60971</v>
      </c>
      <c r="C52" s="341">
        <v>0.111</v>
      </c>
    </row>
    <row r="53" spans="1:3" ht="21" customHeight="1" thickBot="1">
      <c r="A53" s="340" t="s">
        <v>627</v>
      </c>
      <c r="B53" s="340">
        <v>67834</v>
      </c>
      <c r="C53" s="341">
        <v>0.112</v>
      </c>
    </row>
    <row r="54" spans="1:3" ht="21" customHeight="1" thickBot="1">
      <c r="A54" s="340" t="s">
        <v>628</v>
      </c>
      <c r="B54" s="340">
        <v>75567</v>
      </c>
      <c r="C54" s="341">
        <v>0.113</v>
      </c>
    </row>
    <row r="55" spans="1:3" ht="21" customHeight="1" thickBot="1">
      <c r="A55" s="340" t="s">
        <v>629</v>
      </c>
      <c r="B55" s="340">
        <v>84305</v>
      </c>
      <c r="C55" s="341">
        <v>0.113</v>
      </c>
    </row>
    <row r="56" spans="1:3" ht="21" customHeight="1" thickBot="1">
      <c r="A56" s="340" t="s">
        <v>630</v>
      </c>
      <c r="B56" s="340">
        <v>94208</v>
      </c>
      <c r="C56" s="341">
        <v>0.114</v>
      </c>
    </row>
    <row r="57" spans="1:3" ht="15" thickBot="1">
      <c r="A57" s="340" t="s">
        <v>631</v>
      </c>
      <c r="B57" s="340">
        <v>105469</v>
      </c>
      <c r="C57" s="341">
        <v>0.115</v>
      </c>
    </row>
    <row r="58" spans="1:3" ht="21" customHeight="1" thickBot="1">
      <c r="A58" s="340" t="s">
        <v>632</v>
      </c>
      <c r="B58" s="340">
        <v>118329</v>
      </c>
      <c r="C58" s="341">
        <v>0.11600000000000001</v>
      </c>
    </row>
    <row r="59" spans="1:3" ht="21" customHeight="1" thickBot="1">
      <c r="A59" s="340" t="s">
        <v>633</v>
      </c>
      <c r="B59" s="340">
        <v>133082</v>
      </c>
      <c r="C59" s="341">
        <v>0.11700000000000001</v>
      </c>
    </row>
    <row r="60" spans="1:3" ht="21" customHeight="1" thickBot="1">
      <c r="A60" s="340" t="s">
        <v>634</v>
      </c>
      <c r="B60" s="340">
        <v>150091</v>
      </c>
      <c r="C60" s="341">
        <v>0.11799999999999999</v>
      </c>
    </row>
    <row r="61" spans="1:3" ht="21" customHeight="1" thickBot="1">
      <c r="A61" s="340" t="s">
        <v>635</v>
      </c>
      <c r="B61" s="340">
        <v>169823</v>
      </c>
      <c r="C61" s="341">
        <v>0.12</v>
      </c>
    </row>
    <row r="62" spans="1:3">
      <c r="A62" s="319"/>
    </row>
    <row r="63" spans="1:3" ht="26.4">
      <c r="A63" s="326" t="s">
        <v>612</v>
      </c>
    </row>
    <row r="64" spans="1:3">
      <c r="A64" s="319"/>
    </row>
    <row r="65" spans="1:1" ht="171.6">
      <c r="A65" s="344" t="s">
        <v>613</v>
      </c>
    </row>
    <row r="66" spans="1:1" ht="198">
      <c r="A66" s="344" t="s">
        <v>614</v>
      </c>
    </row>
  </sheetData>
  <mergeCells count="1">
    <mergeCell ref="A49:B50"/>
  </mergeCells>
  <pageMargins left="0.7" right="0.7" top="0.75" bottom="0.75" header="0.3" footer="0.3"/>
  <drawing r:id="rId1"/>
  <legacyDrawing r:id="rId2"/>
  <controls>
    <mc:AlternateContent xmlns:mc="http://schemas.openxmlformats.org/markup-compatibility/2006">
      <mc:Choice Requires="x14">
        <control shapeId="12306" r:id="rId3" name="Control 18">
          <controlPr defaultSize="0" r:id="rId4">
            <anchor moveWithCells="1">
              <from>
                <xdr:col>0</xdr:col>
                <xdr:colOff>0</xdr:colOff>
                <xdr:row>42</xdr:row>
                <xdr:rowOff>0</xdr:rowOff>
              </from>
              <to>
                <xdr:col>0</xdr:col>
                <xdr:colOff>914400</xdr:colOff>
                <xdr:row>43</xdr:row>
                <xdr:rowOff>45720</xdr:rowOff>
              </to>
            </anchor>
          </controlPr>
        </control>
      </mc:Choice>
      <mc:Fallback>
        <control shapeId="12306" r:id="rId3" name="Control 18"/>
      </mc:Fallback>
    </mc:AlternateContent>
    <mc:AlternateContent xmlns:mc="http://schemas.openxmlformats.org/markup-compatibility/2006">
      <mc:Choice Requires="x14">
        <control shapeId="12305" r:id="rId5" name="Control 17">
          <controlPr defaultSize="0" r:id="rId4">
            <anchor moveWithCells="1">
              <from>
                <xdr:col>0</xdr:col>
                <xdr:colOff>0</xdr:colOff>
                <xdr:row>36</xdr:row>
                <xdr:rowOff>0</xdr:rowOff>
              </from>
              <to>
                <xdr:col>0</xdr:col>
                <xdr:colOff>914400</xdr:colOff>
                <xdr:row>37</xdr:row>
                <xdr:rowOff>45720</xdr:rowOff>
              </to>
            </anchor>
          </controlPr>
        </control>
      </mc:Choice>
      <mc:Fallback>
        <control shapeId="12305" r:id="rId5" name="Control 17"/>
      </mc:Fallback>
    </mc:AlternateContent>
    <mc:AlternateContent xmlns:mc="http://schemas.openxmlformats.org/markup-compatibility/2006">
      <mc:Choice Requires="x14">
        <control shapeId="12304" r:id="rId6" name="Control 16">
          <controlPr defaultSize="0" r:id="rId4">
            <anchor moveWithCells="1">
              <from>
                <xdr:col>0</xdr:col>
                <xdr:colOff>0</xdr:colOff>
                <xdr:row>33</xdr:row>
                <xdr:rowOff>0</xdr:rowOff>
              </from>
              <to>
                <xdr:col>0</xdr:col>
                <xdr:colOff>914400</xdr:colOff>
                <xdr:row>34</xdr:row>
                <xdr:rowOff>45720</xdr:rowOff>
              </to>
            </anchor>
          </controlPr>
        </control>
      </mc:Choice>
      <mc:Fallback>
        <control shapeId="12304" r:id="rId6" name="Control 16"/>
      </mc:Fallback>
    </mc:AlternateContent>
    <mc:AlternateContent xmlns:mc="http://schemas.openxmlformats.org/markup-compatibility/2006">
      <mc:Choice Requires="x14">
        <control shapeId="12303" r:id="rId7" name="Control 15">
          <controlPr defaultSize="0" r:id="rId4">
            <anchor moveWithCells="1">
              <from>
                <xdr:col>0</xdr:col>
                <xdr:colOff>0</xdr:colOff>
                <xdr:row>21</xdr:row>
                <xdr:rowOff>0</xdr:rowOff>
              </from>
              <to>
                <xdr:col>0</xdr:col>
                <xdr:colOff>914400</xdr:colOff>
                <xdr:row>22</xdr:row>
                <xdr:rowOff>45720</xdr:rowOff>
              </to>
            </anchor>
          </controlPr>
        </control>
      </mc:Choice>
      <mc:Fallback>
        <control shapeId="12303" r:id="rId7" name="Control 15"/>
      </mc:Fallback>
    </mc:AlternateContent>
    <mc:AlternateContent xmlns:mc="http://schemas.openxmlformats.org/markup-compatibility/2006">
      <mc:Choice Requires="x14">
        <control shapeId="12302" r:id="rId8" name="Control 14">
          <controlPr defaultSize="0" r:id="rId4">
            <anchor moveWithCells="1">
              <from>
                <xdr:col>0</xdr:col>
                <xdr:colOff>0</xdr:colOff>
                <xdr:row>18</xdr:row>
                <xdr:rowOff>0</xdr:rowOff>
              </from>
              <to>
                <xdr:col>0</xdr:col>
                <xdr:colOff>914400</xdr:colOff>
                <xdr:row>19</xdr:row>
                <xdr:rowOff>45720</xdr:rowOff>
              </to>
            </anchor>
          </controlPr>
        </control>
      </mc:Choice>
      <mc:Fallback>
        <control shapeId="12302" r:id="rId8" name="Control 14"/>
      </mc:Fallback>
    </mc:AlternateContent>
    <mc:AlternateContent xmlns:mc="http://schemas.openxmlformats.org/markup-compatibility/2006">
      <mc:Choice Requires="x14">
        <control shapeId="12301" r:id="rId9" name="Control 13">
          <controlPr defaultSize="0" r:id="rId4">
            <anchor moveWithCells="1">
              <from>
                <xdr:col>0</xdr:col>
                <xdr:colOff>0</xdr:colOff>
                <xdr:row>15</xdr:row>
                <xdr:rowOff>0</xdr:rowOff>
              </from>
              <to>
                <xdr:col>0</xdr:col>
                <xdr:colOff>914400</xdr:colOff>
                <xdr:row>16</xdr:row>
                <xdr:rowOff>45720</xdr:rowOff>
              </to>
            </anchor>
          </controlPr>
        </control>
      </mc:Choice>
      <mc:Fallback>
        <control shapeId="12301" r:id="rId9" name="Control 13"/>
      </mc:Fallback>
    </mc:AlternateContent>
    <mc:AlternateContent xmlns:mc="http://schemas.openxmlformats.org/markup-compatibility/2006">
      <mc:Choice Requires="x14">
        <control shapeId="12300" r:id="rId10" name="Control 12">
          <controlPr defaultSize="0" r:id="rId4">
            <anchor moveWithCells="1">
              <from>
                <xdr:col>0</xdr:col>
                <xdr:colOff>0</xdr:colOff>
                <xdr:row>12</xdr:row>
                <xdr:rowOff>0</xdr:rowOff>
              </from>
              <to>
                <xdr:col>0</xdr:col>
                <xdr:colOff>914400</xdr:colOff>
                <xdr:row>13</xdr:row>
                <xdr:rowOff>45720</xdr:rowOff>
              </to>
            </anchor>
          </controlPr>
        </control>
      </mc:Choice>
      <mc:Fallback>
        <control shapeId="12300" r:id="rId10" name="Control 12"/>
      </mc:Fallback>
    </mc:AlternateContent>
    <mc:AlternateContent xmlns:mc="http://schemas.openxmlformats.org/markup-compatibility/2006">
      <mc:Choice Requires="x14">
        <control shapeId="12299" r:id="rId11" name="Control 11">
          <controlPr defaultSize="0" r:id="rId4">
            <anchor moveWithCells="1">
              <from>
                <xdr:col>0</xdr:col>
                <xdr:colOff>0</xdr:colOff>
                <xdr:row>6</xdr:row>
                <xdr:rowOff>0</xdr:rowOff>
              </from>
              <to>
                <xdr:col>0</xdr:col>
                <xdr:colOff>914400</xdr:colOff>
                <xdr:row>7</xdr:row>
                <xdr:rowOff>45720</xdr:rowOff>
              </to>
            </anchor>
          </controlPr>
        </control>
      </mc:Choice>
      <mc:Fallback>
        <control shapeId="12299" r:id="rId11" name="Control 11"/>
      </mc:Fallback>
    </mc:AlternateContent>
    <mc:AlternateContent xmlns:mc="http://schemas.openxmlformats.org/markup-compatibility/2006">
      <mc:Choice Requires="x14">
        <control shapeId="12298" r:id="rId12" name="Control 10">
          <controlPr defaultSize="0" r:id="rId4">
            <anchor moveWithCells="1">
              <from>
                <xdr:col>0</xdr:col>
                <xdr:colOff>0</xdr:colOff>
                <xdr:row>3</xdr:row>
                <xdr:rowOff>0</xdr:rowOff>
              </from>
              <to>
                <xdr:col>0</xdr:col>
                <xdr:colOff>914400</xdr:colOff>
                <xdr:row>4</xdr:row>
                <xdr:rowOff>45720</xdr:rowOff>
              </to>
            </anchor>
          </controlPr>
        </control>
      </mc:Choice>
      <mc:Fallback>
        <control shapeId="12298" r:id="rId12" name="Control 10"/>
      </mc:Fallback>
    </mc:AlternateContent>
    <mc:AlternateContent xmlns:mc="http://schemas.openxmlformats.org/markup-compatibility/2006">
      <mc:Choice Requires="x14">
        <control shapeId="12297" r:id="rId13" name="Control 9">
          <controlPr defaultSize="0" r:id="rId4">
            <anchor moveWithCells="1">
              <from>
                <xdr:col>0</xdr:col>
                <xdr:colOff>0</xdr:colOff>
                <xdr:row>42</xdr:row>
                <xdr:rowOff>0</xdr:rowOff>
              </from>
              <to>
                <xdr:col>0</xdr:col>
                <xdr:colOff>914400</xdr:colOff>
                <xdr:row>43</xdr:row>
                <xdr:rowOff>45720</xdr:rowOff>
              </to>
            </anchor>
          </controlPr>
        </control>
      </mc:Choice>
      <mc:Fallback>
        <control shapeId="12297" r:id="rId13" name="Control 9"/>
      </mc:Fallback>
    </mc:AlternateContent>
    <mc:AlternateContent xmlns:mc="http://schemas.openxmlformats.org/markup-compatibility/2006">
      <mc:Choice Requires="x14">
        <control shapeId="12296" r:id="rId14" name="Control 8">
          <controlPr defaultSize="0" r:id="rId4">
            <anchor moveWithCells="1">
              <from>
                <xdr:col>0</xdr:col>
                <xdr:colOff>0</xdr:colOff>
                <xdr:row>36</xdr:row>
                <xdr:rowOff>0</xdr:rowOff>
              </from>
              <to>
                <xdr:col>0</xdr:col>
                <xdr:colOff>914400</xdr:colOff>
                <xdr:row>37</xdr:row>
                <xdr:rowOff>45720</xdr:rowOff>
              </to>
            </anchor>
          </controlPr>
        </control>
      </mc:Choice>
      <mc:Fallback>
        <control shapeId="12296" r:id="rId14" name="Control 8"/>
      </mc:Fallback>
    </mc:AlternateContent>
    <mc:AlternateContent xmlns:mc="http://schemas.openxmlformats.org/markup-compatibility/2006">
      <mc:Choice Requires="x14">
        <control shapeId="12295" r:id="rId15" name="Control 7">
          <controlPr defaultSize="0" r:id="rId4">
            <anchor moveWithCells="1">
              <from>
                <xdr:col>0</xdr:col>
                <xdr:colOff>0</xdr:colOff>
                <xdr:row>33</xdr:row>
                <xdr:rowOff>0</xdr:rowOff>
              </from>
              <to>
                <xdr:col>0</xdr:col>
                <xdr:colOff>914400</xdr:colOff>
                <xdr:row>34</xdr:row>
                <xdr:rowOff>45720</xdr:rowOff>
              </to>
            </anchor>
          </controlPr>
        </control>
      </mc:Choice>
      <mc:Fallback>
        <control shapeId="12295" r:id="rId15" name="Control 7"/>
      </mc:Fallback>
    </mc:AlternateContent>
    <mc:AlternateContent xmlns:mc="http://schemas.openxmlformats.org/markup-compatibility/2006">
      <mc:Choice Requires="x14">
        <control shapeId="12294" r:id="rId16" name="Control 6">
          <controlPr defaultSize="0" r:id="rId4">
            <anchor moveWithCells="1">
              <from>
                <xdr:col>0</xdr:col>
                <xdr:colOff>0</xdr:colOff>
                <xdr:row>21</xdr:row>
                <xdr:rowOff>0</xdr:rowOff>
              </from>
              <to>
                <xdr:col>0</xdr:col>
                <xdr:colOff>914400</xdr:colOff>
                <xdr:row>22</xdr:row>
                <xdr:rowOff>45720</xdr:rowOff>
              </to>
            </anchor>
          </controlPr>
        </control>
      </mc:Choice>
      <mc:Fallback>
        <control shapeId="12294" r:id="rId16" name="Control 6"/>
      </mc:Fallback>
    </mc:AlternateContent>
    <mc:AlternateContent xmlns:mc="http://schemas.openxmlformats.org/markup-compatibility/2006">
      <mc:Choice Requires="x14">
        <control shapeId="12293" r:id="rId17" name="Control 5">
          <controlPr defaultSize="0" r:id="rId4">
            <anchor moveWithCells="1">
              <from>
                <xdr:col>0</xdr:col>
                <xdr:colOff>0</xdr:colOff>
                <xdr:row>18</xdr:row>
                <xdr:rowOff>0</xdr:rowOff>
              </from>
              <to>
                <xdr:col>0</xdr:col>
                <xdr:colOff>914400</xdr:colOff>
                <xdr:row>19</xdr:row>
                <xdr:rowOff>45720</xdr:rowOff>
              </to>
            </anchor>
          </controlPr>
        </control>
      </mc:Choice>
      <mc:Fallback>
        <control shapeId="12293" r:id="rId17" name="Control 5"/>
      </mc:Fallback>
    </mc:AlternateContent>
    <mc:AlternateContent xmlns:mc="http://schemas.openxmlformats.org/markup-compatibility/2006">
      <mc:Choice Requires="x14">
        <control shapeId="12292" r:id="rId18" name="Control 4">
          <controlPr defaultSize="0" r:id="rId4">
            <anchor moveWithCells="1">
              <from>
                <xdr:col>0</xdr:col>
                <xdr:colOff>0</xdr:colOff>
                <xdr:row>15</xdr:row>
                <xdr:rowOff>0</xdr:rowOff>
              </from>
              <to>
                <xdr:col>0</xdr:col>
                <xdr:colOff>914400</xdr:colOff>
                <xdr:row>16</xdr:row>
                <xdr:rowOff>45720</xdr:rowOff>
              </to>
            </anchor>
          </controlPr>
        </control>
      </mc:Choice>
      <mc:Fallback>
        <control shapeId="12292" r:id="rId18" name="Control 4"/>
      </mc:Fallback>
    </mc:AlternateContent>
    <mc:AlternateContent xmlns:mc="http://schemas.openxmlformats.org/markup-compatibility/2006">
      <mc:Choice Requires="x14">
        <control shapeId="12291" r:id="rId19" name="Control 3">
          <controlPr defaultSize="0" r:id="rId4">
            <anchor moveWithCells="1">
              <from>
                <xdr:col>0</xdr:col>
                <xdr:colOff>0</xdr:colOff>
                <xdr:row>12</xdr:row>
                <xdr:rowOff>0</xdr:rowOff>
              </from>
              <to>
                <xdr:col>0</xdr:col>
                <xdr:colOff>914400</xdr:colOff>
                <xdr:row>13</xdr:row>
                <xdr:rowOff>45720</xdr:rowOff>
              </to>
            </anchor>
          </controlPr>
        </control>
      </mc:Choice>
      <mc:Fallback>
        <control shapeId="12291" r:id="rId19" name="Control 3"/>
      </mc:Fallback>
    </mc:AlternateContent>
    <mc:AlternateContent xmlns:mc="http://schemas.openxmlformats.org/markup-compatibility/2006">
      <mc:Choice Requires="x14">
        <control shapeId="12290" r:id="rId20" name="Control 2">
          <controlPr defaultSize="0" r:id="rId4">
            <anchor moveWithCells="1">
              <from>
                <xdr:col>0</xdr:col>
                <xdr:colOff>0</xdr:colOff>
                <xdr:row>6</xdr:row>
                <xdr:rowOff>0</xdr:rowOff>
              </from>
              <to>
                <xdr:col>0</xdr:col>
                <xdr:colOff>914400</xdr:colOff>
                <xdr:row>7</xdr:row>
                <xdr:rowOff>45720</xdr:rowOff>
              </to>
            </anchor>
          </controlPr>
        </control>
      </mc:Choice>
      <mc:Fallback>
        <control shapeId="12290" r:id="rId20" name="Control 2"/>
      </mc:Fallback>
    </mc:AlternateContent>
    <mc:AlternateContent xmlns:mc="http://schemas.openxmlformats.org/markup-compatibility/2006">
      <mc:Choice Requires="x14">
        <control shapeId="12289" r:id="rId21" name="Control 1">
          <controlPr defaultSize="0" r:id="rId4">
            <anchor moveWithCells="1">
              <from>
                <xdr:col>0</xdr:col>
                <xdr:colOff>0</xdr:colOff>
                <xdr:row>3</xdr:row>
                <xdr:rowOff>0</xdr:rowOff>
              </from>
              <to>
                <xdr:col>0</xdr:col>
                <xdr:colOff>914400</xdr:colOff>
                <xdr:row>4</xdr:row>
                <xdr:rowOff>45720</xdr:rowOff>
              </to>
            </anchor>
          </controlPr>
        </control>
      </mc:Choice>
      <mc:Fallback>
        <control shapeId="12289" r:id="rId21"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EAF5-6781-471E-A329-FD6F672CEA6B}">
  <dimension ref="A2:D38"/>
  <sheetViews>
    <sheetView workbookViewId="0">
      <selection activeCell="D2" sqref="D2"/>
    </sheetView>
  </sheetViews>
  <sheetFormatPr defaultRowHeight="14.4"/>
  <cols>
    <col min="2" max="2" width="56.77734375" bestFit="1" customWidth="1"/>
    <col min="3" max="3" width="10.6640625" customWidth="1"/>
    <col min="4" max="4" width="11.21875" bestFit="1" customWidth="1"/>
  </cols>
  <sheetData>
    <row r="2" spans="1:4">
      <c r="D2" t="s">
        <v>638</v>
      </c>
    </row>
    <row r="5" spans="1:4">
      <c r="A5" s="3" t="s">
        <v>0</v>
      </c>
      <c r="B5" s="3"/>
      <c r="C5" s="3"/>
      <c r="D5" s="3"/>
    </row>
    <row r="7" spans="1:4">
      <c r="A7">
        <v>1</v>
      </c>
      <c r="B7" t="s">
        <v>1</v>
      </c>
    </row>
    <row r="8" spans="1:4">
      <c r="A8">
        <v>2</v>
      </c>
      <c r="B8" t="s">
        <v>2</v>
      </c>
    </row>
    <row r="9" spans="1:4">
      <c r="A9">
        <v>3</v>
      </c>
      <c r="B9" t="s">
        <v>3</v>
      </c>
      <c r="C9" t="s">
        <v>4</v>
      </c>
    </row>
    <row r="10" spans="1:4">
      <c r="A10">
        <v>4</v>
      </c>
      <c r="B10" t="s">
        <v>5</v>
      </c>
      <c r="D10" t="s">
        <v>6</v>
      </c>
    </row>
    <row r="11" spans="1:4">
      <c r="A11">
        <v>5</v>
      </c>
      <c r="B11" t="s">
        <v>7</v>
      </c>
    </row>
    <row r="12" spans="1:4">
      <c r="A12">
        <v>6</v>
      </c>
      <c r="B12" t="s">
        <v>8</v>
      </c>
    </row>
    <row r="13" spans="1:4">
      <c r="A13">
        <v>7</v>
      </c>
      <c r="B13" t="s">
        <v>9</v>
      </c>
    </row>
    <row r="14" spans="1:4">
      <c r="A14">
        <v>8</v>
      </c>
      <c r="B14" t="s">
        <v>10</v>
      </c>
      <c r="C14">
        <v>0</v>
      </c>
    </row>
    <row r="15" spans="1:4">
      <c r="A15">
        <v>9</v>
      </c>
      <c r="B15" t="s">
        <v>11</v>
      </c>
      <c r="C15" t="s">
        <v>4</v>
      </c>
    </row>
    <row r="16" spans="1:4">
      <c r="A16">
        <v>10</v>
      </c>
      <c r="B16" t="s">
        <v>12</v>
      </c>
      <c r="C16">
        <v>0</v>
      </c>
    </row>
    <row r="17" spans="1:4">
      <c r="A17">
        <v>11</v>
      </c>
      <c r="B17" t="s">
        <v>13</v>
      </c>
    </row>
    <row r="18" spans="1:4">
      <c r="A18">
        <v>12</v>
      </c>
      <c r="B18" t="s">
        <v>14</v>
      </c>
    </row>
    <row r="19" spans="1:4">
      <c r="B19" t="s">
        <v>15</v>
      </c>
    </row>
    <row r="20" spans="1:4">
      <c r="A20">
        <v>13</v>
      </c>
      <c r="B20" t="s">
        <v>16</v>
      </c>
      <c r="C20" t="s">
        <v>4</v>
      </c>
    </row>
    <row r="21" spans="1:4">
      <c r="B21" t="s">
        <v>17</v>
      </c>
    </row>
    <row r="22" spans="1:4">
      <c r="A22">
        <v>14</v>
      </c>
      <c r="B22" t="s">
        <v>18</v>
      </c>
      <c r="D22" t="s">
        <v>6</v>
      </c>
    </row>
    <row r="23" spans="1:4">
      <c r="A23">
        <v>15</v>
      </c>
      <c r="B23" t="s">
        <v>19</v>
      </c>
      <c r="D23" t="s">
        <v>6</v>
      </c>
    </row>
    <row r="24" spans="1:4">
      <c r="B24" t="s">
        <v>20</v>
      </c>
    </row>
    <row r="25" spans="1:4">
      <c r="A25">
        <v>16</v>
      </c>
      <c r="B25" t="s">
        <v>21</v>
      </c>
      <c r="D25" t="s">
        <v>6</v>
      </c>
    </row>
    <row r="26" spans="1:4">
      <c r="B26" t="s">
        <v>22</v>
      </c>
    </row>
    <row r="27" spans="1:4">
      <c r="B27" s="2" t="s">
        <v>23</v>
      </c>
      <c r="D27" t="s">
        <v>24</v>
      </c>
    </row>
    <row r="28" spans="1:4">
      <c r="A28">
        <v>17</v>
      </c>
      <c r="B28" t="s">
        <v>25</v>
      </c>
      <c r="D28" s="1">
        <v>0</v>
      </c>
    </row>
    <row r="29" spans="1:4">
      <c r="A29">
        <v>18</v>
      </c>
      <c r="B29" t="s">
        <v>26</v>
      </c>
      <c r="D29" s="1">
        <v>0</v>
      </c>
    </row>
    <row r="30" spans="1:4">
      <c r="A30">
        <v>19</v>
      </c>
      <c r="B30" t="s">
        <v>27</v>
      </c>
      <c r="D30" s="1">
        <v>0</v>
      </c>
    </row>
    <row r="31" spans="1:4">
      <c r="A31">
        <v>20</v>
      </c>
      <c r="B31" t="s">
        <v>28</v>
      </c>
      <c r="D31" s="1">
        <v>0</v>
      </c>
    </row>
    <row r="32" spans="1:4">
      <c r="A32">
        <v>21</v>
      </c>
      <c r="B32" t="s">
        <v>29</v>
      </c>
      <c r="D32" s="1">
        <v>0</v>
      </c>
    </row>
    <row r="33" spans="1:4">
      <c r="A33">
        <v>22</v>
      </c>
      <c r="B33" t="s">
        <v>30</v>
      </c>
      <c r="D33" t="s">
        <v>6</v>
      </c>
    </row>
    <row r="34" spans="1:4">
      <c r="A34">
        <v>23</v>
      </c>
      <c r="B34" t="s">
        <v>31</v>
      </c>
      <c r="D34" t="s">
        <v>6</v>
      </c>
    </row>
    <row r="38" spans="1:4">
      <c r="B38" t="s">
        <v>32</v>
      </c>
      <c r="C38" s="1">
        <v>0</v>
      </c>
    </row>
  </sheetData>
  <mergeCells count="1">
    <mergeCell ref="A5:D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D88C-F984-45E5-9343-F7BFFDF03E12}">
  <dimension ref="A4:D37"/>
  <sheetViews>
    <sheetView topLeftCell="A10" workbookViewId="0">
      <selection activeCell="B26" sqref="B26"/>
    </sheetView>
  </sheetViews>
  <sheetFormatPr defaultRowHeight="14.4"/>
  <cols>
    <col min="2" max="2" width="56.77734375" bestFit="1" customWidth="1"/>
    <col min="3" max="3" width="8" customWidth="1"/>
    <col min="4" max="4" width="11.21875" bestFit="1" customWidth="1"/>
  </cols>
  <sheetData>
    <row r="4" spans="1:4" ht="15.6">
      <c r="A4" s="4" t="s">
        <v>0</v>
      </c>
      <c r="B4" s="4"/>
      <c r="C4" s="4"/>
      <c r="D4" s="4"/>
    </row>
    <row r="6" spans="1:4">
      <c r="A6">
        <v>1</v>
      </c>
      <c r="B6" t="s">
        <v>1</v>
      </c>
    </row>
    <row r="7" spans="1:4">
      <c r="A7">
        <v>2</v>
      </c>
      <c r="B7" t="s">
        <v>2</v>
      </c>
    </row>
    <row r="8" spans="1:4">
      <c r="A8">
        <v>3</v>
      </c>
      <c r="B8" t="s">
        <v>3</v>
      </c>
      <c r="C8" t="s">
        <v>4</v>
      </c>
    </row>
    <row r="9" spans="1:4">
      <c r="A9">
        <v>4</v>
      </c>
      <c r="B9" t="s">
        <v>5</v>
      </c>
      <c r="D9" t="s">
        <v>6</v>
      </c>
    </row>
    <row r="10" spans="1:4">
      <c r="A10">
        <v>5</v>
      </c>
      <c r="B10" t="s">
        <v>7</v>
      </c>
    </row>
    <row r="11" spans="1:4">
      <c r="A11">
        <v>6</v>
      </c>
      <c r="B11" t="s">
        <v>8</v>
      </c>
    </row>
    <row r="12" spans="1:4">
      <c r="A12">
        <v>7</v>
      </c>
      <c r="B12" t="s">
        <v>9</v>
      </c>
    </row>
    <row r="13" spans="1:4">
      <c r="A13">
        <v>8</v>
      </c>
      <c r="B13" t="s">
        <v>10</v>
      </c>
      <c r="C13">
        <v>0</v>
      </c>
    </row>
    <row r="14" spans="1:4">
      <c r="A14">
        <v>9</v>
      </c>
      <c r="B14" t="s">
        <v>11</v>
      </c>
      <c r="C14" t="s">
        <v>4</v>
      </c>
    </row>
    <row r="15" spans="1:4">
      <c r="A15">
        <v>10</v>
      </c>
      <c r="B15" t="s">
        <v>12</v>
      </c>
      <c r="C15">
        <v>0</v>
      </c>
    </row>
    <row r="16" spans="1:4">
      <c r="A16">
        <v>11</v>
      </c>
      <c r="B16" t="s">
        <v>13</v>
      </c>
    </row>
    <row r="17" spans="1:4">
      <c r="A17">
        <v>12</v>
      </c>
      <c r="B17" t="s">
        <v>14</v>
      </c>
    </row>
    <row r="18" spans="1:4">
      <c r="B18" t="s">
        <v>15</v>
      </c>
    </row>
    <row r="19" spans="1:4">
      <c r="A19">
        <v>13</v>
      </c>
      <c r="B19" t="s">
        <v>16</v>
      </c>
      <c r="C19" t="s">
        <v>4</v>
      </c>
    </row>
    <row r="20" spans="1:4">
      <c r="B20" t="s">
        <v>17</v>
      </c>
    </row>
    <row r="21" spans="1:4">
      <c r="A21">
        <v>14</v>
      </c>
      <c r="B21" t="s">
        <v>18</v>
      </c>
      <c r="D21" t="s">
        <v>6</v>
      </c>
    </row>
    <row r="22" spans="1:4">
      <c r="A22">
        <v>15</v>
      </c>
      <c r="B22" t="s">
        <v>19</v>
      </c>
      <c r="D22" t="s">
        <v>6</v>
      </c>
    </row>
    <row r="23" spans="1:4">
      <c r="B23" t="s">
        <v>20</v>
      </c>
    </row>
    <row r="24" spans="1:4">
      <c r="A24">
        <v>16</v>
      </c>
      <c r="B24" t="s">
        <v>21</v>
      </c>
      <c r="D24" t="s">
        <v>6</v>
      </c>
    </row>
    <row r="25" spans="1:4">
      <c r="B25" t="s">
        <v>22</v>
      </c>
    </row>
    <row r="26" spans="1:4">
      <c r="B26" s="5" t="s">
        <v>23</v>
      </c>
      <c r="D26" t="s">
        <v>24</v>
      </c>
    </row>
    <row r="27" spans="1:4">
      <c r="A27">
        <v>17</v>
      </c>
      <c r="B27" t="s">
        <v>25</v>
      </c>
      <c r="D27" s="1">
        <v>0</v>
      </c>
    </row>
    <row r="28" spans="1:4">
      <c r="A28">
        <v>18</v>
      </c>
      <c r="B28" t="s">
        <v>26</v>
      </c>
      <c r="D28" s="1">
        <v>0</v>
      </c>
    </row>
    <row r="29" spans="1:4">
      <c r="A29">
        <v>19</v>
      </c>
      <c r="B29" t="s">
        <v>27</v>
      </c>
      <c r="D29" s="1">
        <v>0</v>
      </c>
    </row>
    <row r="30" spans="1:4">
      <c r="A30">
        <v>20</v>
      </c>
      <c r="B30" t="s">
        <v>28</v>
      </c>
      <c r="D30" s="1">
        <v>0</v>
      </c>
    </row>
    <row r="31" spans="1:4">
      <c r="A31">
        <v>21</v>
      </c>
      <c r="B31" t="s">
        <v>29</v>
      </c>
      <c r="D31" s="1">
        <v>0</v>
      </c>
    </row>
    <row r="32" spans="1:4">
      <c r="A32">
        <v>22</v>
      </c>
      <c r="B32" t="s">
        <v>30</v>
      </c>
      <c r="D32" t="s">
        <v>6</v>
      </c>
    </row>
    <row r="33" spans="1:4">
      <c r="A33">
        <v>23</v>
      </c>
      <c r="B33" t="s">
        <v>31</v>
      </c>
      <c r="D33" t="s">
        <v>6</v>
      </c>
    </row>
    <row r="37" spans="1:4">
      <c r="B37" t="s">
        <v>32</v>
      </c>
      <c r="C37" s="1">
        <v>0</v>
      </c>
    </row>
  </sheetData>
  <mergeCells count="1">
    <mergeCell ref="A4: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9D2A-04ED-4FD1-9A5A-BC25EDB57C8B}">
  <dimension ref="A4:G22"/>
  <sheetViews>
    <sheetView workbookViewId="0">
      <selection activeCell="E19" sqref="E19"/>
    </sheetView>
  </sheetViews>
  <sheetFormatPr defaultRowHeight="14.4"/>
  <cols>
    <col min="1" max="1" width="46.88671875" bestFit="1" customWidth="1"/>
  </cols>
  <sheetData>
    <row r="4" spans="1:7">
      <c r="A4" t="s">
        <v>33</v>
      </c>
      <c r="B4">
        <v>1</v>
      </c>
      <c r="C4">
        <v>2</v>
      </c>
      <c r="D4">
        <v>3</v>
      </c>
      <c r="E4">
        <v>4</v>
      </c>
      <c r="F4">
        <v>5</v>
      </c>
      <c r="G4">
        <v>6</v>
      </c>
    </row>
    <row r="5" spans="1:7">
      <c r="A5" t="s">
        <v>73</v>
      </c>
    </row>
    <row r="6" spans="1:7">
      <c r="A6" t="s">
        <v>34</v>
      </c>
    </row>
    <row r="7" spans="1:7">
      <c r="A7" t="s">
        <v>35</v>
      </c>
    </row>
    <row r="8" spans="1:7">
      <c r="A8" t="s">
        <v>36</v>
      </c>
    </row>
    <row r="9" spans="1:7">
      <c r="A9" t="s">
        <v>37</v>
      </c>
    </row>
    <row r="10" spans="1:7">
      <c r="A10" t="s">
        <v>38</v>
      </c>
      <c r="B10" s="1"/>
      <c r="C10" s="1"/>
      <c r="D10" s="1"/>
      <c r="E10" s="1"/>
      <c r="F10" s="1"/>
    </row>
    <row r="11" spans="1:7">
      <c r="A11" t="s">
        <v>39</v>
      </c>
    </row>
    <row r="12" spans="1:7">
      <c r="A12" t="s">
        <v>40</v>
      </c>
    </row>
    <row r="13" spans="1:7">
      <c r="A13" t="s">
        <v>41</v>
      </c>
    </row>
    <row r="14" spans="1:7">
      <c r="A14" t="s">
        <v>42</v>
      </c>
    </row>
    <row r="15" spans="1:7">
      <c r="A15" t="s">
        <v>43</v>
      </c>
    </row>
    <row r="16" spans="1:7">
      <c r="A16" t="s">
        <v>44</v>
      </c>
    </row>
    <row r="17" spans="1:6">
      <c r="A17" t="s">
        <v>45</v>
      </c>
    </row>
    <row r="18" spans="1:6">
      <c r="A18" t="s">
        <v>46</v>
      </c>
    </row>
    <row r="19" spans="1:6">
      <c r="A19" t="s">
        <v>47</v>
      </c>
    </row>
    <row r="20" spans="1:6">
      <c r="A20" t="s">
        <v>48</v>
      </c>
    </row>
    <row r="21" spans="1:6">
      <c r="A21" t="s">
        <v>49</v>
      </c>
      <c r="B21" s="1"/>
      <c r="C21" s="1"/>
      <c r="D21" s="1"/>
      <c r="E21" s="1"/>
      <c r="F21" s="1"/>
    </row>
    <row r="22" spans="1:6">
      <c r="A22" t="s">
        <v>50</v>
      </c>
      <c r="B22" s="1"/>
      <c r="C22" s="1"/>
      <c r="D22" s="1"/>
      <c r="E22" s="1"/>
      <c r="F2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3E18-26E6-4ACA-96CC-E94113746D87}">
  <dimension ref="A4:M20"/>
  <sheetViews>
    <sheetView workbookViewId="0">
      <selection activeCell="A21" sqref="A21"/>
    </sheetView>
  </sheetViews>
  <sheetFormatPr defaultRowHeight="14.4"/>
  <cols>
    <col min="1" max="1" width="75.77734375" customWidth="1"/>
  </cols>
  <sheetData>
    <row r="4" spans="1:13">
      <c r="A4" t="s">
        <v>51</v>
      </c>
    </row>
    <row r="7" spans="1:13" ht="43.2">
      <c r="A7" s="6" t="s">
        <v>52</v>
      </c>
    </row>
    <row r="8" spans="1:13">
      <c r="A8" t="s">
        <v>53</v>
      </c>
    </row>
    <row r="9" spans="1:13">
      <c r="A9" t="s">
        <v>54</v>
      </c>
      <c r="C9" t="s">
        <v>55</v>
      </c>
      <c r="E9" t="s">
        <v>56</v>
      </c>
      <c r="F9" t="s">
        <v>57</v>
      </c>
      <c r="G9" t="s">
        <v>58</v>
      </c>
      <c r="H9" t="s">
        <v>59</v>
      </c>
      <c r="I9" t="s">
        <v>60</v>
      </c>
      <c r="J9" t="s">
        <v>61</v>
      </c>
      <c r="K9" t="s">
        <v>62</v>
      </c>
      <c r="L9" t="s">
        <v>63</v>
      </c>
      <c r="M9" t="s">
        <v>64</v>
      </c>
    </row>
    <row r="10" spans="1:13">
      <c r="A10" t="s">
        <v>65</v>
      </c>
      <c r="C10">
        <v>0</v>
      </c>
      <c r="D10">
        <v>0</v>
      </c>
      <c r="E10">
        <v>0</v>
      </c>
      <c r="F10">
        <v>0</v>
      </c>
      <c r="G10">
        <v>0</v>
      </c>
      <c r="H10">
        <v>0</v>
      </c>
      <c r="J10" t="s">
        <v>66</v>
      </c>
      <c r="K10" t="s">
        <v>67</v>
      </c>
      <c r="L10" t="s">
        <v>68</v>
      </c>
    </row>
    <row r="11" spans="1:13">
      <c r="A11" t="s">
        <v>69</v>
      </c>
      <c r="B11" t="s">
        <v>70</v>
      </c>
      <c r="C11" t="s">
        <v>71</v>
      </c>
      <c r="D11" t="s">
        <v>71</v>
      </c>
      <c r="E11" t="s">
        <v>71</v>
      </c>
      <c r="F11" t="s">
        <v>71</v>
      </c>
      <c r="G11" t="s">
        <v>71</v>
      </c>
      <c r="H11" t="s">
        <v>71</v>
      </c>
    </row>
    <row r="12" spans="1:13">
      <c r="A12">
        <v>2026</v>
      </c>
      <c r="C12">
        <v>0</v>
      </c>
      <c r="D12">
        <v>0</v>
      </c>
      <c r="E12">
        <v>0</v>
      </c>
      <c r="F12">
        <v>0</v>
      </c>
      <c r="G12">
        <v>0</v>
      </c>
      <c r="H12">
        <v>0</v>
      </c>
      <c r="I12">
        <v>0</v>
      </c>
      <c r="M12">
        <v>0</v>
      </c>
    </row>
    <row r="20" spans="1:1">
      <c r="A20"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7508-822A-4EFE-B3EB-41099755D0CA}">
  <dimension ref="A4"/>
  <sheetViews>
    <sheetView workbookViewId="0">
      <selection activeCell="L18" sqref="L18"/>
    </sheetView>
  </sheetViews>
  <sheetFormatPr defaultRowHeight="14.4"/>
  <sheetData>
    <row r="4" spans="1:1">
      <c r="A4" t="s">
        <v>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2827-5956-49C9-B3D7-82DED5FF0902}">
  <dimension ref="A1:M210"/>
  <sheetViews>
    <sheetView workbookViewId="0">
      <selection activeCell="F6" sqref="F6"/>
    </sheetView>
  </sheetViews>
  <sheetFormatPr defaultColWidth="16.77734375" defaultRowHeight="14.4"/>
  <cols>
    <col min="1" max="1" width="24.44140625" customWidth="1"/>
    <col min="2" max="2" width="20.44140625" customWidth="1"/>
    <col min="3" max="9" width="14" customWidth="1"/>
    <col min="10" max="10" width="20.6640625" customWidth="1"/>
    <col min="11" max="14" width="17.33203125" customWidth="1"/>
    <col min="15" max="27" width="8.33203125" customWidth="1"/>
  </cols>
  <sheetData>
    <row r="1" spans="1:13" ht="18">
      <c r="A1" s="7" t="s">
        <v>75</v>
      </c>
      <c r="D1" s="8" t="s">
        <v>76</v>
      </c>
      <c r="E1" s="8" t="s">
        <v>77</v>
      </c>
      <c r="F1" s="8"/>
      <c r="G1" s="8"/>
      <c r="H1" s="8"/>
      <c r="I1" s="8"/>
      <c r="J1" s="9"/>
    </row>
    <row r="2" spans="1:13">
      <c r="A2" t="s">
        <v>78</v>
      </c>
    </row>
    <row r="3" spans="1:13" ht="18">
      <c r="A3" t="s">
        <v>79</v>
      </c>
      <c r="D3" s="8" t="s">
        <v>76</v>
      </c>
      <c r="E3" s="8" t="s">
        <v>80</v>
      </c>
      <c r="F3" s="9"/>
      <c r="G3" s="9"/>
      <c r="H3" s="9"/>
      <c r="I3" s="9"/>
      <c r="J3" s="9"/>
      <c r="L3" s="9"/>
    </row>
    <row r="4" spans="1:13">
      <c r="A4" t="s">
        <v>81</v>
      </c>
    </row>
    <row r="5" spans="1:13">
      <c r="A5" t="s">
        <v>82</v>
      </c>
    </row>
    <row r="6" spans="1:13">
      <c r="A6" t="s">
        <v>83</v>
      </c>
    </row>
    <row r="7" spans="1:13" ht="15" thickBot="1"/>
    <row r="8" spans="1:13" ht="19.2" thickTop="1" thickBot="1">
      <c r="A8" s="10" t="s">
        <v>84</v>
      </c>
      <c r="B8" s="11"/>
      <c r="C8" s="11"/>
      <c r="D8" s="11"/>
      <c r="E8" s="11"/>
      <c r="F8" s="11"/>
      <c r="G8" s="11"/>
      <c r="H8" s="11"/>
      <c r="I8" s="11"/>
      <c r="J8" s="12"/>
      <c r="K8" s="13" t="s">
        <v>85</v>
      </c>
      <c r="L8" s="13"/>
      <c r="M8" s="14"/>
    </row>
    <row r="9" spans="1:13" ht="18.600000000000001" thickTop="1">
      <c r="A9" s="15" t="s">
        <v>86</v>
      </c>
      <c r="B9" s="16"/>
      <c r="C9" s="17" t="s">
        <v>87</v>
      </c>
      <c r="D9" s="18" t="s">
        <v>88</v>
      </c>
      <c r="E9" s="19"/>
      <c r="F9" s="19"/>
      <c r="G9" s="19"/>
      <c r="H9" s="19"/>
      <c r="I9" s="20"/>
      <c r="J9" s="21" t="s">
        <v>89</v>
      </c>
      <c r="K9" s="22" t="s">
        <v>90</v>
      </c>
      <c r="L9" s="22" t="s">
        <v>91</v>
      </c>
      <c r="M9" s="23" t="s">
        <v>89</v>
      </c>
    </row>
    <row r="10" spans="1:13" ht="15.6">
      <c r="A10" s="24"/>
      <c r="B10" s="25"/>
      <c r="C10" s="26"/>
      <c r="D10" s="27" t="s">
        <v>92</v>
      </c>
      <c r="E10" s="27" t="s">
        <v>93</v>
      </c>
      <c r="F10" s="27" t="s">
        <v>94</v>
      </c>
      <c r="G10" s="27" t="s">
        <v>95</v>
      </c>
      <c r="H10" s="27" t="s">
        <v>96</v>
      </c>
      <c r="I10" s="27" t="s">
        <v>97</v>
      </c>
      <c r="J10" s="28"/>
      <c r="K10" s="22"/>
      <c r="L10" s="22"/>
      <c r="M10" s="23"/>
    </row>
    <row r="11" spans="1:13">
      <c r="A11" s="29" t="s">
        <v>98</v>
      </c>
      <c r="B11" s="30"/>
      <c r="C11" s="31"/>
      <c r="D11" s="32"/>
      <c r="E11" s="32"/>
      <c r="F11" s="32"/>
      <c r="G11" s="32"/>
      <c r="H11" s="32"/>
      <c r="I11" s="32">
        <f>+D11+E11+F11+G11+H11</f>
        <v>0</v>
      </c>
      <c r="J11" s="33">
        <f>+C11-I11</f>
        <v>0</v>
      </c>
      <c r="K11" s="34"/>
      <c r="L11" s="34"/>
      <c r="M11" s="35"/>
    </row>
    <row r="12" spans="1:13">
      <c r="A12" s="29" t="s">
        <v>99</v>
      </c>
      <c r="B12" s="30"/>
      <c r="C12" s="31"/>
      <c r="D12" s="32"/>
      <c r="E12" s="32"/>
      <c r="F12" s="32"/>
      <c r="G12" s="32"/>
      <c r="H12" s="32"/>
      <c r="I12" s="32">
        <f>+D12+E12+F12+G12+H12</f>
        <v>0</v>
      </c>
      <c r="J12" s="33">
        <f>+C12-I12</f>
        <v>0</v>
      </c>
      <c r="K12" s="34"/>
      <c r="L12" s="34"/>
      <c r="M12" s="35"/>
    </row>
    <row r="13" spans="1:13">
      <c r="A13" s="29" t="s">
        <v>100</v>
      </c>
      <c r="B13" s="30"/>
      <c r="C13" s="31"/>
      <c r="D13" s="32"/>
      <c r="E13" s="32"/>
      <c r="F13" s="32"/>
      <c r="G13" s="32"/>
      <c r="H13" s="32"/>
      <c r="I13" s="32">
        <f>+D13+E13+F13+G13+H13</f>
        <v>0</v>
      </c>
      <c r="J13" s="33">
        <f>+C13-I13</f>
        <v>0</v>
      </c>
      <c r="K13" s="34"/>
      <c r="L13" s="34"/>
      <c r="M13" s="35"/>
    </row>
    <row r="14" spans="1:13">
      <c r="A14" s="36"/>
      <c r="B14" s="37" t="s">
        <v>101</v>
      </c>
      <c r="C14" s="38"/>
      <c r="D14" s="39"/>
      <c r="E14" s="39"/>
      <c r="F14" s="39"/>
      <c r="G14" s="39"/>
      <c r="H14" s="39"/>
      <c r="I14" s="32"/>
      <c r="J14" s="40"/>
      <c r="K14" s="34"/>
      <c r="L14" s="34"/>
      <c r="M14" s="35"/>
    </row>
    <row r="15" spans="1:13" ht="15" thickBot="1">
      <c r="A15" s="41" t="s">
        <v>102</v>
      </c>
      <c r="B15" s="42"/>
      <c r="C15" s="38"/>
      <c r="D15" s="39"/>
      <c r="E15" s="39"/>
      <c r="F15" s="39"/>
      <c r="G15" s="39"/>
      <c r="H15" s="39"/>
      <c r="I15" s="32">
        <f>+D15+E15+F15+G15+H15</f>
        <v>0</v>
      </c>
      <c r="J15" s="40">
        <f>+C15-I15</f>
        <v>0</v>
      </c>
      <c r="K15" s="43"/>
      <c r="L15" s="44"/>
      <c r="M15" s="45"/>
    </row>
    <row r="16" spans="1:13" ht="19.2" thickTop="1" thickBot="1">
      <c r="A16" s="46" t="s">
        <v>103</v>
      </c>
      <c r="B16" s="11"/>
      <c r="C16" s="47"/>
      <c r="D16" s="47"/>
      <c r="E16" s="47"/>
      <c r="F16" s="47"/>
      <c r="G16" s="47"/>
      <c r="H16" s="47"/>
      <c r="I16" s="47"/>
      <c r="J16" s="48">
        <f>+C16-I16</f>
        <v>0</v>
      </c>
      <c r="K16" s="49"/>
      <c r="L16" s="50"/>
      <c r="M16" s="51"/>
    </row>
    <row r="17" spans="1:13" ht="21.6" thickTop="1">
      <c r="A17" s="52" t="s">
        <v>104</v>
      </c>
      <c r="B17" s="16"/>
      <c r="C17" s="53" t="s">
        <v>87</v>
      </c>
      <c r="D17" s="54" t="s">
        <v>105</v>
      </c>
      <c r="E17" s="19"/>
      <c r="F17" s="19"/>
      <c r="G17" s="19"/>
      <c r="H17" s="19"/>
      <c r="I17" s="20"/>
      <c r="J17" s="55" t="s">
        <v>106</v>
      </c>
      <c r="K17" s="56" t="s">
        <v>107</v>
      </c>
      <c r="L17" s="57"/>
      <c r="M17" s="58"/>
    </row>
    <row r="18" spans="1:13">
      <c r="A18" s="24"/>
      <c r="B18" s="25"/>
      <c r="C18" s="17"/>
      <c r="D18" s="59" t="s">
        <v>92</v>
      </c>
      <c r="E18" s="59" t="s">
        <v>93</v>
      </c>
      <c r="F18" s="59" t="s">
        <v>94</v>
      </c>
      <c r="G18" s="59" t="s">
        <v>95</v>
      </c>
      <c r="H18" s="59" t="s">
        <v>96</v>
      </c>
      <c r="I18" s="59" t="s">
        <v>97</v>
      </c>
      <c r="J18" s="60"/>
      <c r="K18" s="61"/>
      <c r="L18" s="62"/>
      <c r="M18" s="63"/>
    </row>
    <row r="19" spans="1:13" ht="28.8">
      <c r="A19" s="64" t="s">
        <v>108</v>
      </c>
      <c r="B19" s="65" t="s">
        <v>109</v>
      </c>
      <c r="C19" s="66"/>
      <c r="D19" s="67"/>
      <c r="E19" s="67"/>
      <c r="F19" s="67"/>
      <c r="G19" s="67"/>
      <c r="H19" s="67"/>
      <c r="I19" s="67"/>
      <c r="J19" s="68"/>
      <c r="K19" s="69" t="s">
        <v>90</v>
      </c>
      <c r="L19" s="69" t="s">
        <v>91</v>
      </c>
      <c r="M19" s="70" t="s">
        <v>89</v>
      </c>
    </row>
    <row r="20" spans="1:13">
      <c r="A20" s="71" t="s">
        <v>110</v>
      </c>
      <c r="B20" s="72" t="s">
        <v>111</v>
      </c>
      <c r="C20" s="73">
        <v>12500</v>
      </c>
      <c r="D20" s="73">
        <v>12500</v>
      </c>
      <c r="E20" s="73">
        <v>222</v>
      </c>
      <c r="F20" s="73"/>
      <c r="G20" s="73"/>
      <c r="H20" s="73"/>
      <c r="I20" s="73">
        <f t="shared" ref="I20:I165" si="0">+D20+E20+F20+G20+H20</f>
        <v>12722</v>
      </c>
      <c r="J20" s="74">
        <f t="shared" ref="J20:J161" si="1">+C20-I20</f>
        <v>-222</v>
      </c>
      <c r="K20" s="75"/>
      <c r="L20" s="75"/>
      <c r="M20" s="76"/>
    </row>
    <row r="21" spans="1:13" ht="26.4">
      <c r="A21" s="71"/>
      <c r="B21" s="77" t="s">
        <v>112</v>
      </c>
      <c r="C21" s="32"/>
      <c r="D21" s="32"/>
      <c r="E21" s="32"/>
      <c r="F21" s="32"/>
      <c r="G21" s="32"/>
      <c r="H21" s="32"/>
      <c r="I21" s="32">
        <f t="shared" si="0"/>
        <v>0</v>
      </c>
      <c r="J21" s="78">
        <f t="shared" si="1"/>
        <v>0</v>
      </c>
      <c r="K21" s="34"/>
      <c r="L21" s="34"/>
      <c r="M21" s="35"/>
    </row>
    <row r="22" spans="1:13">
      <c r="A22" s="71"/>
      <c r="B22" s="77" t="s">
        <v>113</v>
      </c>
      <c r="C22" s="32"/>
      <c r="D22" s="32"/>
      <c r="E22" s="32"/>
      <c r="F22" s="32"/>
      <c r="G22" s="32"/>
      <c r="H22" s="32"/>
      <c r="I22" s="32">
        <f t="shared" si="0"/>
        <v>0</v>
      </c>
      <c r="J22" s="78">
        <f t="shared" si="1"/>
        <v>0</v>
      </c>
      <c r="K22" s="34"/>
      <c r="L22" s="34"/>
      <c r="M22" s="35"/>
    </row>
    <row r="23" spans="1:13">
      <c r="A23" s="71"/>
      <c r="B23" s="77" t="s">
        <v>114</v>
      </c>
      <c r="C23" s="32"/>
      <c r="D23" s="32"/>
      <c r="E23" s="32"/>
      <c r="F23" s="32"/>
      <c r="G23" s="32"/>
      <c r="H23" s="32"/>
      <c r="I23" s="32">
        <f t="shared" si="0"/>
        <v>0</v>
      </c>
      <c r="J23" s="78">
        <f t="shared" si="1"/>
        <v>0</v>
      </c>
      <c r="K23" s="34"/>
      <c r="L23" s="34"/>
      <c r="M23" s="35"/>
    </row>
    <row r="24" spans="1:13">
      <c r="A24" s="71"/>
      <c r="B24" s="77" t="s">
        <v>115</v>
      </c>
      <c r="C24" s="32"/>
      <c r="D24" s="32"/>
      <c r="E24" s="32"/>
      <c r="F24" s="32"/>
      <c r="G24" s="32"/>
      <c r="H24" s="32"/>
      <c r="I24" s="32">
        <f t="shared" si="0"/>
        <v>0</v>
      </c>
      <c r="J24" s="78">
        <f t="shared" si="1"/>
        <v>0</v>
      </c>
      <c r="K24" s="34"/>
      <c r="L24" s="34"/>
      <c r="M24" s="35"/>
    </row>
    <row r="25" spans="1:13">
      <c r="A25" s="71"/>
      <c r="B25" s="77" t="s">
        <v>116</v>
      </c>
      <c r="C25" s="32"/>
      <c r="D25" s="32"/>
      <c r="E25" s="32"/>
      <c r="F25" s="32"/>
      <c r="G25" s="32"/>
      <c r="H25" s="32"/>
      <c r="I25" s="32">
        <f t="shared" si="0"/>
        <v>0</v>
      </c>
      <c r="J25" s="78">
        <f t="shared" si="1"/>
        <v>0</v>
      </c>
      <c r="K25" s="34"/>
      <c r="L25" s="34"/>
      <c r="M25" s="35"/>
    </row>
    <row r="26" spans="1:13">
      <c r="A26" s="71"/>
      <c r="B26" s="77" t="s">
        <v>117</v>
      </c>
      <c r="C26" s="32"/>
      <c r="D26" s="32"/>
      <c r="E26" s="32"/>
      <c r="F26" s="32"/>
      <c r="G26" s="32"/>
      <c r="H26" s="32"/>
      <c r="I26" s="32">
        <f t="shared" si="0"/>
        <v>0</v>
      </c>
      <c r="J26" s="78">
        <f t="shared" si="1"/>
        <v>0</v>
      </c>
      <c r="K26" s="34"/>
      <c r="L26" s="34"/>
      <c r="M26" s="35"/>
    </row>
    <row r="27" spans="1:13">
      <c r="A27" s="71"/>
      <c r="B27" s="77" t="s">
        <v>118</v>
      </c>
      <c r="C27" s="32"/>
      <c r="D27" s="32"/>
      <c r="E27" s="32"/>
      <c r="F27" s="32"/>
      <c r="G27" s="32"/>
      <c r="H27" s="32"/>
      <c r="I27" s="32">
        <f t="shared" si="0"/>
        <v>0</v>
      </c>
      <c r="J27" s="78">
        <f t="shared" si="1"/>
        <v>0</v>
      </c>
      <c r="K27" s="34"/>
      <c r="L27" s="34"/>
      <c r="M27" s="35"/>
    </row>
    <row r="28" spans="1:13">
      <c r="A28" s="71"/>
      <c r="B28" s="77" t="s">
        <v>119</v>
      </c>
      <c r="C28" s="32"/>
      <c r="D28" s="32"/>
      <c r="E28" s="32"/>
      <c r="F28" s="32"/>
      <c r="G28" s="32"/>
      <c r="H28" s="32"/>
      <c r="I28" s="32">
        <f t="shared" si="0"/>
        <v>0</v>
      </c>
      <c r="J28" s="78">
        <f t="shared" si="1"/>
        <v>0</v>
      </c>
      <c r="K28" s="34"/>
      <c r="L28" s="34"/>
      <c r="M28" s="35"/>
    </row>
    <row r="29" spans="1:13">
      <c r="A29" s="71"/>
      <c r="B29" s="77" t="s">
        <v>120</v>
      </c>
      <c r="C29" s="32"/>
      <c r="D29" s="32"/>
      <c r="E29" s="32"/>
      <c r="F29" s="32"/>
      <c r="G29" s="32"/>
      <c r="H29" s="32"/>
      <c r="I29" s="32">
        <f t="shared" si="0"/>
        <v>0</v>
      </c>
      <c r="J29" s="78">
        <f t="shared" si="1"/>
        <v>0</v>
      </c>
      <c r="K29" s="34"/>
      <c r="L29" s="34"/>
      <c r="M29" s="35"/>
    </row>
    <row r="30" spans="1:13" ht="15" thickBot="1">
      <c r="A30" s="71"/>
      <c r="B30" s="79" t="s">
        <v>121</v>
      </c>
      <c r="C30" s="39"/>
      <c r="D30" s="39"/>
      <c r="E30" s="39"/>
      <c r="F30" s="39"/>
      <c r="G30" s="39"/>
      <c r="H30" s="39"/>
      <c r="I30" s="39">
        <f t="shared" si="0"/>
        <v>0</v>
      </c>
      <c r="J30" s="80">
        <f t="shared" si="1"/>
        <v>0</v>
      </c>
      <c r="K30" s="81"/>
      <c r="L30" s="81"/>
      <c r="M30" s="82"/>
    </row>
    <row r="31" spans="1:13" s="89" customFormat="1" ht="15.6" thickTop="1" thickBot="1">
      <c r="A31" s="83"/>
      <c r="B31" s="84" t="s">
        <v>103</v>
      </c>
      <c r="C31" s="85"/>
      <c r="D31" s="85"/>
      <c r="E31" s="85"/>
      <c r="F31" s="85"/>
      <c r="G31" s="85"/>
      <c r="H31" s="85"/>
      <c r="I31" s="85">
        <f t="shared" si="0"/>
        <v>0</v>
      </c>
      <c r="J31" s="86">
        <f t="shared" si="1"/>
        <v>0</v>
      </c>
      <c r="K31" s="87"/>
      <c r="L31" s="87"/>
      <c r="M31" s="88"/>
    </row>
    <row r="32" spans="1:13" s="9" customFormat="1" ht="15" thickTop="1">
      <c r="A32" s="90" t="s">
        <v>122</v>
      </c>
      <c r="B32" s="72" t="s">
        <v>123</v>
      </c>
      <c r="C32" s="73"/>
      <c r="D32" s="73"/>
      <c r="E32" s="73"/>
      <c r="F32" s="73"/>
      <c r="G32" s="73"/>
      <c r="H32" s="73"/>
      <c r="I32" s="73">
        <f t="shared" si="0"/>
        <v>0</v>
      </c>
      <c r="J32" s="74">
        <f t="shared" si="1"/>
        <v>0</v>
      </c>
      <c r="K32" s="75"/>
      <c r="L32" s="75"/>
      <c r="M32" s="76"/>
    </row>
    <row r="33" spans="1:13">
      <c r="A33" s="71"/>
      <c r="B33" s="77" t="s">
        <v>124</v>
      </c>
      <c r="C33" s="32"/>
      <c r="D33" s="32"/>
      <c r="E33" s="32"/>
      <c r="F33" s="32"/>
      <c r="G33" s="32"/>
      <c r="H33" s="32"/>
      <c r="I33" s="32">
        <f t="shared" si="0"/>
        <v>0</v>
      </c>
      <c r="J33" s="78">
        <f t="shared" si="1"/>
        <v>0</v>
      </c>
      <c r="K33" s="34"/>
      <c r="L33" s="34"/>
      <c r="M33" s="35"/>
    </row>
    <row r="34" spans="1:13">
      <c r="A34" s="71"/>
      <c r="B34" s="77" t="s">
        <v>125</v>
      </c>
      <c r="C34" s="32"/>
      <c r="D34" s="32"/>
      <c r="E34" s="32"/>
      <c r="F34" s="32"/>
      <c r="G34" s="32"/>
      <c r="H34" s="32"/>
      <c r="I34" s="32">
        <f t="shared" si="0"/>
        <v>0</v>
      </c>
      <c r="J34" s="78">
        <f t="shared" si="1"/>
        <v>0</v>
      </c>
      <c r="K34" s="34"/>
      <c r="L34" s="34"/>
      <c r="M34" s="35"/>
    </row>
    <row r="35" spans="1:13">
      <c r="A35" s="71"/>
      <c r="B35" s="77" t="s">
        <v>126</v>
      </c>
      <c r="C35" s="32"/>
      <c r="D35" s="32"/>
      <c r="E35" s="32"/>
      <c r="F35" s="32"/>
      <c r="G35" s="32"/>
      <c r="H35" s="32"/>
      <c r="I35" s="32">
        <f t="shared" si="0"/>
        <v>0</v>
      </c>
      <c r="J35" s="78">
        <f t="shared" si="1"/>
        <v>0</v>
      </c>
      <c r="K35" s="34"/>
      <c r="L35" s="34"/>
      <c r="M35" s="35"/>
    </row>
    <row r="36" spans="1:13">
      <c r="A36" s="71"/>
      <c r="B36" s="77" t="s">
        <v>127</v>
      </c>
      <c r="C36" s="32"/>
      <c r="D36" s="32"/>
      <c r="E36" s="32"/>
      <c r="F36" s="32"/>
      <c r="G36" s="32"/>
      <c r="H36" s="32"/>
      <c r="I36" s="32">
        <f t="shared" si="0"/>
        <v>0</v>
      </c>
      <c r="J36" s="78">
        <f t="shared" si="1"/>
        <v>0</v>
      </c>
      <c r="K36" s="34"/>
      <c r="L36" s="34"/>
      <c r="M36" s="35"/>
    </row>
    <row r="37" spans="1:13" ht="15" thickBot="1">
      <c r="A37" s="71"/>
      <c r="B37" s="91"/>
      <c r="C37" s="39"/>
      <c r="D37" s="39"/>
      <c r="E37" s="39"/>
      <c r="F37" s="39"/>
      <c r="G37" s="39"/>
      <c r="H37" s="39"/>
      <c r="I37" s="39">
        <f t="shared" si="0"/>
        <v>0</v>
      </c>
      <c r="J37" s="80">
        <f t="shared" si="1"/>
        <v>0</v>
      </c>
      <c r="K37" s="81"/>
      <c r="L37" s="81"/>
      <c r="M37" s="82"/>
    </row>
    <row r="38" spans="1:13" s="98" customFormat="1" ht="15.6" thickTop="1" thickBot="1">
      <c r="A38" s="92"/>
      <c r="B38" s="93" t="s">
        <v>103</v>
      </c>
      <c r="C38" s="94"/>
      <c r="D38" s="94"/>
      <c r="E38" s="94"/>
      <c r="F38" s="94"/>
      <c r="G38" s="94"/>
      <c r="H38" s="94"/>
      <c r="I38" s="94">
        <f t="shared" si="0"/>
        <v>0</v>
      </c>
      <c r="J38" s="95">
        <f t="shared" si="1"/>
        <v>0</v>
      </c>
      <c r="K38" s="96"/>
      <c r="L38" s="96"/>
      <c r="M38" s="97"/>
    </row>
    <row r="39" spans="1:13" ht="15" thickTop="1">
      <c r="A39" s="99" t="s">
        <v>128</v>
      </c>
      <c r="B39" s="72" t="s">
        <v>129</v>
      </c>
      <c r="C39" s="73"/>
      <c r="D39" s="73"/>
      <c r="E39" s="73"/>
      <c r="F39" s="73"/>
      <c r="G39" s="73"/>
      <c r="H39" s="73"/>
      <c r="I39" s="73">
        <f t="shared" si="0"/>
        <v>0</v>
      </c>
      <c r="J39" s="74">
        <f t="shared" si="1"/>
        <v>0</v>
      </c>
      <c r="K39" s="75"/>
      <c r="L39" s="75"/>
      <c r="M39" s="76"/>
    </row>
    <row r="40" spans="1:13" ht="26.4">
      <c r="A40" s="71"/>
      <c r="B40" s="77" t="s">
        <v>130</v>
      </c>
      <c r="C40" s="32"/>
      <c r="D40" s="32"/>
      <c r="E40" s="32"/>
      <c r="F40" s="32"/>
      <c r="G40" s="32"/>
      <c r="H40" s="32"/>
      <c r="I40" s="32">
        <f t="shared" si="0"/>
        <v>0</v>
      </c>
      <c r="J40" s="78">
        <f t="shared" si="1"/>
        <v>0</v>
      </c>
      <c r="K40" s="34"/>
      <c r="L40" s="34"/>
      <c r="M40" s="35"/>
    </row>
    <row r="41" spans="1:13" ht="26.4">
      <c r="A41" s="71"/>
      <c r="B41" s="77" t="s">
        <v>131</v>
      </c>
      <c r="C41" s="32"/>
      <c r="D41" s="32"/>
      <c r="E41" s="32"/>
      <c r="F41" s="32"/>
      <c r="G41" s="32"/>
      <c r="H41" s="32"/>
      <c r="I41" s="32">
        <f t="shared" si="0"/>
        <v>0</v>
      </c>
      <c r="J41" s="78">
        <f t="shared" si="1"/>
        <v>0</v>
      </c>
      <c r="K41" s="34"/>
      <c r="L41" s="34"/>
      <c r="M41" s="35"/>
    </row>
    <row r="42" spans="1:13">
      <c r="A42" s="71"/>
      <c r="B42" s="77" t="s">
        <v>132</v>
      </c>
      <c r="C42" s="32"/>
      <c r="D42" s="32"/>
      <c r="E42" s="32"/>
      <c r="F42" s="32"/>
      <c r="G42" s="32"/>
      <c r="H42" s="32"/>
      <c r="I42" s="32">
        <f t="shared" si="0"/>
        <v>0</v>
      </c>
      <c r="J42" s="78">
        <f t="shared" si="1"/>
        <v>0</v>
      </c>
      <c r="K42" s="34"/>
      <c r="L42" s="34"/>
      <c r="M42" s="35"/>
    </row>
    <row r="43" spans="1:13" ht="26.4">
      <c r="A43" s="71"/>
      <c r="B43" s="77" t="s">
        <v>133</v>
      </c>
      <c r="C43" s="32"/>
      <c r="D43" s="32"/>
      <c r="E43" s="32"/>
      <c r="F43" s="32"/>
      <c r="G43" s="32"/>
      <c r="H43" s="32"/>
      <c r="I43" s="32">
        <f t="shared" si="0"/>
        <v>0</v>
      </c>
      <c r="J43" s="78">
        <f t="shared" si="1"/>
        <v>0</v>
      </c>
      <c r="K43" s="34"/>
      <c r="L43" s="34"/>
      <c r="M43" s="35"/>
    </row>
    <row r="44" spans="1:13" ht="26.4">
      <c r="A44" s="71"/>
      <c r="B44" s="77" t="s">
        <v>134</v>
      </c>
      <c r="C44" s="32"/>
      <c r="D44" s="32"/>
      <c r="E44" s="32"/>
      <c r="F44" s="32"/>
      <c r="G44" s="32"/>
      <c r="H44" s="32"/>
      <c r="I44" s="32">
        <f t="shared" si="0"/>
        <v>0</v>
      </c>
      <c r="J44" s="78">
        <f t="shared" si="1"/>
        <v>0</v>
      </c>
      <c r="K44" s="34"/>
      <c r="L44" s="34"/>
      <c r="M44" s="35"/>
    </row>
    <row r="45" spans="1:13">
      <c r="A45" s="71"/>
      <c r="B45" s="77" t="s">
        <v>135</v>
      </c>
      <c r="C45" s="32"/>
      <c r="D45" s="32"/>
      <c r="E45" s="32"/>
      <c r="F45" s="32"/>
      <c r="G45" s="32"/>
      <c r="H45" s="32"/>
      <c r="I45" s="32">
        <f t="shared" si="0"/>
        <v>0</v>
      </c>
      <c r="J45" s="78">
        <f t="shared" si="1"/>
        <v>0</v>
      </c>
      <c r="K45" s="34"/>
      <c r="L45" s="34"/>
      <c r="M45" s="35"/>
    </row>
    <row r="46" spans="1:13" ht="26.4">
      <c r="A46" s="71"/>
      <c r="B46" s="77" t="s">
        <v>136</v>
      </c>
      <c r="C46" s="32"/>
      <c r="D46" s="32"/>
      <c r="E46" s="32"/>
      <c r="F46" s="32"/>
      <c r="G46" s="32"/>
      <c r="H46" s="32"/>
      <c r="I46" s="32">
        <f t="shared" si="0"/>
        <v>0</v>
      </c>
      <c r="J46" s="78">
        <f t="shared" si="1"/>
        <v>0</v>
      </c>
      <c r="K46" s="34"/>
      <c r="L46" s="34"/>
      <c r="M46" s="35"/>
    </row>
    <row r="47" spans="1:13">
      <c r="A47" s="71"/>
      <c r="B47" s="77" t="s">
        <v>137</v>
      </c>
      <c r="C47" s="32"/>
      <c r="D47" s="32"/>
      <c r="E47" s="32"/>
      <c r="F47" s="32"/>
      <c r="G47" s="32"/>
      <c r="H47" s="32"/>
      <c r="I47" s="32">
        <f t="shared" si="0"/>
        <v>0</v>
      </c>
      <c r="J47" s="78">
        <f t="shared" si="1"/>
        <v>0</v>
      </c>
      <c r="K47" s="34"/>
      <c r="L47" s="34"/>
      <c r="M47" s="35"/>
    </row>
    <row r="48" spans="1:13">
      <c r="A48" s="71"/>
      <c r="B48" s="77" t="s">
        <v>138</v>
      </c>
      <c r="C48" s="32"/>
      <c r="D48" s="32"/>
      <c r="E48" s="32"/>
      <c r="F48" s="32"/>
      <c r="G48" s="32"/>
      <c r="H48" s="32"/>
      <c r="I48" s="32">
        <f t="shared" si="0"/>
        <v>0</v>
      </c>
      <c r="J48" s="78">
        <f t="shared" si="1"/>
        <v>0</v>
      </c>
      <c r="K48" s="34"/>
      <c r="L48" s="34"/>
      <c r="M48" s="35"/>
    </row>
    <row r="49" spans="1:13">
      <c r="A49" s="71"/>
      <c r="B49" s="77" t="s">
        <v>139</v>
      </c>
      <c r="C49" s="32"/>
      <c r="D49" s="32"/>
      <c r="E49" s="32"/>
      <c r="F49" s="32"/>
      <c r="G49" s="32"/>
      <c r="H49" s="32"/>
      <c r="I49" s="32">
        <f t="shared" si="0"/>
        <v>0</v>
      </c>
      <c r="J49" s="78">
        <f t="shared" si="1"/>
        <v>0</v>
      </c>
      <c r="K49" s="34"/>
      <c r="L49" s="34"/>
      <c r="M49" s="35"/>
    </row>
    <row r="50" spans="1:13">
      <c r="A50" s="71"/>
      <c r="B50" s="77" t="s">
        <v>140</v>
      </c>
      <c r="C50" s="32"/>
      <c r="D50" s="32"/>
      <c r="E50" s="32"/>
      <c r="F50" s="32"/>
      <c r="G50" s="32"/>
      <c r="H50" s="32"/>
      <c r="I50" s="32">
        <f t="shared" si="0"/>
        <v>0</v>
      </c>
      <c r="J50" s="78">
        <f t="shared" si="1"/>
        <v>0</v>
      </c>
      <c r="K50" s="34"/>
      <c r="L50" s="34"/>
      <c r="M50" s="35"/>
    </row>
    <row r="51" spans="1:13" ht="15" thickBot="1">
      <c r="A51" s="71"/>
      <c r="B51" s="39"/>
      <c r="C51" s="39"/>
      <c r="D51" s="39"/>
      <c r="E51" s="39"/>
      <c r="F51" s="39"/>
      <c r="G51" s="39"/>
      <c r="H51" s="39"/>
      <c r="I51" s="39">
        <f t="shared" si="0"/>
        <v>0</v>
      </c>
      <c r="J51" s="80">
        <f t="shared" si="1"/>
        <v>0</v>
      </c>
      <c r="K51" s="81"/>
      <c r="L51" s="81"/>
      <c r="M51" s="82"/>
    </row>
    <row r="52" spans="1:13" ht="15.6" thickTop="1" thickBot="1">
      <c r="A52" s="100"/>
      <c r="B52" s="93" t="s">
        <v>103</v>
      </c>
      <c r="C52" s="101"/>
      <c r="D52" s="102"/>
      <c r="E52" s="94"/>
      <c r="F52" s="94"/>
      <c r="G52" s="94"/>
      <c r="H52" s="94"/>
      <c r="I52" s="94">
        <f t="shared" si="0"/>
        <v>0</v>
      </c>
      <c r="J52" s="95">
        <f t="shared" si="1"/>
        <v>0</v>
      </c>
      <c r="K52" s="96"/>
      <c r="L52" s="96"/>
      <c r="M52" s="97"/>
    </row>
    <row r="53" spans="1:13" ht="15" thickTop="1">
      <c r="A53" s="103" t="s">
        <v>141</v>
      </c>
      <c r="B53" s="104" t="s">
        <v>142</v>
      </c>
      <c r="C53" s="73"/>
      <c r="D53" s="73"/>
      <c r="E53" s="73"/>
      <c r="F53" s="73"/>
      <c r="G53" s="73"/>
      <c r="H53" s="73"/>
      <c r="I53" s="73">
        <f t="shared" si="0"/>
        <v>0</v>
      </c>
      <c r="J53" s="74">
        <f t="shared" si="1"/>
        <v>0</v>
      </c>
      <c r="K53" s="75"/>
      <c r="L53" s="75"/>
      <c r="M53" s="76"/>
    </row>
    <row r="54" spans="1:13">
      <c r="A54" s="103"/>
      <c r="B54" s="105" t="s">
        <v>143</v>
      </c>
      <c r="C54" s="32"/>
      <c r="D54" s="32"/>
      <c r="E54" s="32"/>
      <c r="F54" s="32"/>
      <c r="G54" s="32"/>
      <c r="H54" s="32"/>
      <c r="I54" s="32">
        <f t="shared" si="0"/>
        <v>0</v>
      </c>
      <c r="J54" s="78">
        <f t="shared" si="1"/>
        <v>0</v>
      </c>
      <c r="K54" s="34"/>
      <c r="L54" s="34"/>
      <c r="M54" s="35"/>
    </row>
    <row r="55" spans="1:13">
      <c r="A55" s="103"/>
      <c r="B55" s="105" t="s">
        <v>143</v>
      </c>
      <c r="C55" s="32"/>
      <c r="D55" s="32"/>
      <c r="E55" s="32"/>
      <c r="F55" s="32"/>
      <c r="G55" s="32"/>
      <c r="H55" s="32"/>
      <c r="I55" s="32">
        <f t="shared" si="0"/>
        <v>0</v>
      </c>
      <c r="J55" s="78">
        <f t="shared" si="1"/>
        <v>0</v>
      </c>
      <c r="K55" s="34"/>
      <c r="L55" s="34"/>
      <c r="M55" s="35"/>
    </row>
    <row r="56" spans="1:13">
      <c r="A56" s="103"/>
      <c r="B56" s="105" t="s">
        <v>143</v>
      </c>
      <c r="C56" s="32"/>
      <c r="D56" s="32"/>
      <c r="E56" s="32"/>
      <c r="F56" s="32"/>
      <c r="G56" s="32"/>
      <c r="H56" s="32"/>
      <c r="I56" s="32">
        <f t="shared" si="0"/>
        <v>0</v>
      </c>
      <c r="J56" s="78">
        <f t="shared" si="1"/>
        <v>0</v>
      </c>
      <c r="K56" s="34"/>
      <c r="L56" s="34"/>
      <c r="M56" s="35"/>
    </row>
    <row r="57" spans="1:13">
      <c r="A57" s="103"/>
      <c r="B57" s="105" t="s">
        <v>144</v>
      </c>
      <c r="C57" s="32"/>
      <c r="D57" s="32"/>
      <c r="E57" s="32"/>
      <c r="F57" s="32"/>
      <c r="G57" s="32"/>
      <c r="H57" s="32"/>
      <c r="I57" s="32">
        <f t="shared" si="0"/>
        <v>0</v>
      </c>
      <c r="J57" s="78">
        <f t="shared" si="1"/>
        <v>0</v>
      </c>
      <c r="K57" s="34"/>
      <c r="L57" s="34"/>
      <c r="M57" s="35"/>
    </row>
    <row r="58" spans="1:13">
      <c r="A58" s="103"/>
      <c r="B58" s="106" t="s">
        <v>145</v>
      </c>
      <c r="C58" s="32"/>
      <c r="D58" s="32"/>
      <c r="E58" s="32"/>
      <c r="F58" s="32"/>
      <c r="G58" s="32"/>
      <c r="H58" s="32"/>
      <c r="I58" s="32">
        <f t="shared" si="0"/>
        <v>0</v>
      </c>
      <c r="J58" s="78">
        <f t="shared" si="1"/>
        <v>0</v>
      </c>
      <c r="K58" s="34"/>
      <c r="L58" s="34"/>
      <c r="M58" s="35"/>
    </row>
    <row r="59" spans="1:13" ht="15" thickBot="1">
      <c r="A59" s="103"/>
      <c r="B59" s="39"/>
      <c r="C59" s="39"/>
      <c r="D59" s="39"/>
      <c r="E59" s="39"/>
      <c r="F59" s="39"/>
      <c r="G59" s="39"/>
      <c r="H59" s="39"/>
      <c r="I59" s="39">
        <f t="shared" si="0"/>
        <v>0</v>
      </c>
      <c r="J59" s="80">
        <f t="shared" si="1"/>
        <v>0</v>
      </c>
      <c r="K59" s="81"/>
      <c r="L59" s="81"/>
      <c r="M59" s="82"/>
    </row>
    <row r="60" spans="1:13" ht="15.6" thickTop="1" thickBot="1">
      <c r="A60" s="100"/>
      <c r="B60" s="93" t="s">
        <v>103</v>
      </c>
      <c r="C60" s="94"/>
      <c r="D60" s="94"/>
      <c r="E60" s="94"/>
      <c r="F60" s="94"/>
      <c r="G60" s="94"/>
      <c r="H60" s="94"/>
      <c r="I60" s="94">
        <f t="shared" si="0"/>
        <v>0</v>
      </c>
      <c r="J60" s="95">
        <f t="shared" si="1"/>
        <v>0</v>
      </c>
      <c r="K60" s="107"/>
      <c r="L60" s="107"/>
      <c r="M60" s="108"/>
    </row>
    <row r="61" spans="1:13" ht="15" thickTop="1">
      <c r="A61" s="71" t="s">
        <v>146</v>
      </c>
      <c r="B61" s="72" t="s">
        <v>147</v>
      </c>
      <c r="C61" s="73"/>
      <c r="D61" s="73"/>
      <c r="E61" s="73"/>
      <c r="F61" s="73"/>
      <c r="G61" s="73"/>
      <c r="H61" s="73"/>
      <c r="I61" s="73">
        <f t="shared" si="0"/>
        <v>0</v>
      </c>
      <c r="J61" s="74">
        <f t="shared" si="1"/>
        <v>0</v>
      </c>
      <c r="K61" s="75"/>
      <c r="L61" s="75"/>
      <c r="M61" s="76"/>
    </row>
    <row r="62" spans="1:13">
      <c r="A62" s="71"/>
      <c r="B62" s="77" t="s">
        <v>148</v>
      </c>
      <c r="C62" s="32"/>
      <c r="D62" s="32"/>
      <c r="E62" s="32"/>
      <c r="F62" s="32"/>
      <c r="G62" s="32"/>
      <c r="H62" s="32"/>
      <c r="I62" s="32">
        <f t="shared" si="0"/>
        <v>0</v>
      </c>
      <c r="J62" s="78">
        <f t="shared" si="1"/>
        <v>0</v>
      </c>
      <c r="K62" s="34"/>
      <c r="L62" s="34"/>
      <c r="M62" s="35"/>
    </row>
    <row r="63" spans="1:13">
      <c r="A63" s="71"/>
      <c r="B63" s="77" t="s">
        <v>149</v>
      </c>
      <c r="C63" s="32"/>
      <c r="D63" s="32"/>
      <c r="E63" s="32"/>
      <c r="F63" s="32"/>
      <c r="G63" s="32"/>
      <c r="H63" s="32"/>
      <c r="I63" s="32">
        <f t="shared" si="0"/>
        <v>0</v>
      </c>
      <c r="J63" s="78">
        <f t="shared" si="1"/>
        <v>0</v>
      </c>
      <c r="K63" s="34"/>
      <c r="L63" s="34"/>
      <c r="M63" s="35"/>
    </row>
    <row r="64" spans="1:13">
      <c r="A64" s="71"/>
      <c r="B64" s="77" t="s">
        <v>150</v>
      </c>
      <c r="C64" s="32"/>
      <c r="D64" s="32"/>
      <c r="E64" s="32"/>
      <c r="F64" s="32"/>
      <c r="G64" s="32"/>
      <c r="H64" s="32"/>
      <c r="I64" s="32">
        <f t="shared" si="0"/>
        <v>0</v>
      </c>
      <c r="J64" s="78">
        <f t="shared" si="1"/>
        <v>0</v>
      </c>
      <c r="K64" s="34"/>
      <c r="L64" s="34"/>
      <c r="M64" s="35"/>
    </row>
    <row r="65" spans="1:13">
      <c r="A65" s="71"/>
      <c r="B65" s="77" t="s">
        <v>151</v>
      </c>
      <c r="C65" s="32"/>
      <c r="D65" s="32"/>
      <c r="E65" s="32"/>
      <c r="F65" s="32"/>
      <c r="G65" s="32"/>
      <c r="H65" s="32"/>
      <c r="I65" s="32">
        <f t="shared" si="0"/>
        <v>0</v>
      </c>
      <c r="J65" s="78">
        <f t="shared" si="1"/>
        <v>0</v>
      </c>
      <c r="K65" s="34"/>
      <c r="L65" s="34"/>
      <c r="M65" s="35"/>
    </row>
    <row r="66" spans="1:13">
      <c r="A66" s="71"/>
      <c r="B66" s="77" t="s">
        <v>152</v>
      </c>
      <c r="C66" s="32"/>
      <c r="D66" s="32"/>
      <c r="E66" s="32"/>
      <c r="F66" s="32"/>
      <c r="G66" s="32"/>
      <c r="H66" s="32"/>
      <c r="I66" s="32">
        <f t="shared" si="0"/>
        <v>0</v>
      </c>
      <c r="J66" s="78">
        <f t="shared" si="1"/>
        <v>0</v>
      </c>
      <c r="K66" s="34"/>
      <c r="L66" s="34"/>
      <c r="M66" s="35"/>
    </row>
    <row r="67" spans="1:13">
      <c r="A67" s="71"/>
      <c r="B67" s="77" t="s">
        <v>153</v>
      </c>
      <c r="C67" s="32"/>
      <c r="D67" s="32"/>
      <c r="E67" s="32"/>
      <c r="F67" s="32"/>
      <c r="G67" s="32"/>
      <c r="H67" s="32"/>
      <c r="I67" s="32">
        <f t="shared" si="0"/>
        <v>0</v>
      </c>
      <c r="J67" s="78">
        <f t="shared" si="1"/>
        <v>0</v>
      </c>
      <c r="K67" s="34"/>
      <c r="L67" s="34"/>
      <c r="M67" s="35"/>
    </row>
    <row r="68" spans="1:13">
      <c r="A68" s="71"/>
      <c r="B68" s="77" t="s">
        <v>154</v>
      </c>
      <c r="C68" s="32"/>
      <c r="D68" s="32"/>
      <c r="E68" s="32"/>
      <c r="F68" s="32"/>
      <c r="G68" s="32"/>
      <c r="H68" s="32"/>
      <c r="I68" s="32">
        <f t="shared" si="0"/>
        <v>0</v>
      </c>
      <c r="J68" s="78">
        <f t="shared" si="1"/>
        <v>0</v>
      </c>
      <c r="K68" s="34"/>
      <c r="L68" s="34"/>
      <c r="M68" s="35"/>
    </row>
    <row r="69" spans="1:13" ht="15" thickBot="1">
      <c r="A69" s="71"/>
      <c r="B69" s="39"/>
      <c r="C69" s="39"/>
      <c r="D69" s="39"/>
      <c r="E69" s="39"/>
      <c r="F69" s="39"/>
      <c r="G69" s="39"/>
      <c r="H69" s="39"/>
      <c r="I69" s="39">
        <f t="shared" si="0"/>
        <v>0</v>
      </c>
      <c r="J69" s="80">
        <f t="shared" si="1"/>
        <v>0</v>
      </c>
      <c r="K69" s="81"/>
      <c r="L69" s="81"/>
      <c r="M69" s="82"/>
    </row>
    <row r="70" spans="1:13" ht="15.6" thickTop="1" thickBot="1">
      <c r="A70" s="100"/>
      <c r="B70" s="93" t="s">
        <v>103</v>
      </c>
      <c r="C70" s="94"/>
      <c r="D70" s="94"/>
      <c r="E70" s="94"/>
      <c r="F70" s="94"/>
      <c r="G70" s="94"/>
      <c r="H70" s="94"/>
      <c r="I70" s="94">
        <f t="shared" si="0"/>
        <v>0</v>
      </c>
      <c r="J70" s="95">
        <f t="shared" si="1"/>
        <v>0</v>
      </c>
      <c r="K70" s="96"/>
      <c r="L70" s="96"/>
      <c r="M70" s="97"/>
    </row>
    <row r="71" spans="1:13" ht="15" thickTop="1">
      <c r="A71" s="71" t="s">
        <v>155</v>
      </c>
      <c r="B71" s="72" t="s">
        <v>156</v>
      </c>
      <c r="C71" s="73"/>
      <c r="D71" s="73"/>
      <c r="E71" s="73"/>
      <c r="F71" s="73"/>
      <c r="G71" s="73"/>
      <c r="H71" s="73"/>
      <c r="I71" s="73">
        <f t="shared" si="0"/>
        <v>0</v>
      </c>
      <c r="J71" s="74">
        <f t="shared" si="1"/>
        <v>0</v>
      </c>
      <c r="K71" s="75"/>
      <c r="L71" s="75"/>
      <c r="M71" s="76"/>
    </row>
    <row r="72" spans="1:13">
      <c r="A72" s="71"/>
      <c r="B72" s="77" t="s">
        <v>157</v>
      </c>
      <c r="C72" s="32"/>
      <c r="D72" s="32"/>
      <c r="E72" s="32"/>
      <c r="F72" s="32"/>
      <c r="G72" s="32"/>
      <c r="H72" s="32"/>
      <c r="I72" s="32">
        <f t="shared" si="0"/>
        <v>0</v>
      </c>
      <c r="J72" s="78">
        <f t="shared" si="1"/>
        <v>0</v>
      </c>
      <c r="K72" s="34"/>
      <c r="L72" s="34"/>
      <c r="M72" s="35"/>
    </row>
    <row r="73" spans="1:13">
      <c r="A73" s="71"/>
      <c r="B73" s="77" t="s">
        <v>158</v>
      </c>
      <c r="C73" s="32"/>
      <c r="D73" s="32"/>
      <c r="E73" s="32"/>
      <c r="F73" s="32"/>
      <c r="G73" s="32"/>
      <c r="H73" s="32"/>
      <c r="I73" s="32">
        <f t="shared" si="0"/>
        <v>0</v>
      </c>
      <c r="J73" s="78">
        <f t="shared" si="1"/>
        <v>0</v>
      </c>
      <c r="K73" s="34"/>
      <c r="L73" s="34"/>
      <c r="M73" s="35"/>
    </row>
    <row r="74" spans="1:13">
      <c r="A74" s="71"/>
      <c r="B74" s="77" t="s">
        <v>159</v>
      </c>
      <c r="C74" s="32"/>
      <c r="D74" s="32"/>
      <c r="E74" s="32"/>
      <c r="F74" s="32"/>
      <c r="G74" s="32"/>
      <c r="H74" s="32"/>
      <c r="I74" s="32">
        <f t="shared" si="0"/>
        <v>0</v>
      </c>
      <c r="J74" s="78">
        <f t="shared" si="1"/>
        <v>0</v>
      </c>
      <c r="K74" s="34"/>
      <c r="L74" s="34"/>
      <c r="M74" s="35"/>
    </row>
    <row r="75" spans="1:13">
      <c r="A75" s="71"/>
      <c r="B75" s="77" t="s">
        <v>160</v>
      </c>
      <c r="C75" s="32"/>
      <c r="D75" s="32"/>
      <c r="E75" s="32"/>
      <c r="F75" s="32"/>
      <c r="G75" s="32"/>
      <c r="H75" s="32"/>
      <c r="I75" s="32">
        <f t="shared" si="0"/>
        <v>0</v>
      </c>
      <c r="J75" s="78">
        <f t="shared" si="1"/>
        <v>0</v>
      </c>
      <c r="K75" s="34"/>
      <c r="L75" s="34"/>
      <c r="M75" s="35"/>
    </row>
    <row r="76" spans="1:13">
      <c r="A76" s="71"/>
      <c r="B76" s="77" t="s">
        <v>161</v>
      </c>
      <c r="C76" s="32"/>
      <c r="D76" s="32"/>
      <c r="E76" s="32"/>
      <c r="F76" s="32"/>
      <c r="G76" s="32"/>
      <c r="H76" s="32"/>
      <c r="I76" s="32">
        <f t="shared" si="0"/>
        <v>0</v>
      </c>
      <c r="J76" s="78">
        <f t="shared" si="1"/>
        <v>0</v>
      </c>
      <c r="K76" s="34"/>
      <c r="L76" s="34"/>
      <c r="M76" s="35"/>
    </row>
    <row r="77" spans="1:13">
      <c r="A77" s="71"/>
      <c r="B77" s="105" t="s">
        <v>162</v>
      </c>
      <c r="C77" s="32"/>
      <c r="D77" s="32"/>
      <c r="E77" s="32"/>
      <c r="F77" s="32"/>
      <c r="G77" s="32"/>
      <c r="H77" s="32"/>
      <c r="I77" s="32">
        <f t="shared" si="0"/>
        <v>0</v>
      </c>
      <c r="J77" s="78">
        <f t="shared" si="1"/>
        <v>0</v>
      </c>
      <c r="K77" s="34"/>
      <c r="L77" s="34"/>
      <c r="M77" s="35"/>
    </row>
    <row r="78" spans="1:13">
      <c r="A78" s="71"/>
      <c r="B78" s="109" t="s">
        <v>163</v>
      </c>
      <c r="C78" s="32"/>
      <c r="D78" s="32"/>
      <c r="E78" s="32"/>
      <c r="F78" s="32"/>
      <c r="G78" s="32"/>
      <c r="H78" s="32"/>
      <c r="I78" s="32">
        <f t="shared" si="0"/>
        <v>0</v>
      </c>
      <c r="J78" s="78">
        <f t="shared" si="1"/>
        <v>0</v>
      </c>
      <c r="K78" s="34"/>
      <c r="L78" s="34"/>
      <c r="M78" s="35"/>
    </row>
    <row r="79" spans="1:13" ht="15" thickBot="1">
      <c r="A79" s="71"/>
      <c r="B79" s="91"/>
      <c r="C79" s="39"/>
      <c r="D79" s="39"/>
      <c r="E79" s="39"/>
      <c r="F79" s="39"/>
      <c r="G79" s="39"/>
      <c r="H79" s="39"/>
      <c r="I79" s="39">
        <f t="shared" si="0"/>
        <v>0</v>
      </c>
      <c r="J79" s="80">
        <f t="shared" si="1"/>
        <v>0</v>
      </c>
      <c r="K79" s="81"/>
      <c r="L79" s="81"/>
      <c r="M79" s="82"/>
    </row>
    <row r="80" spans="1:13" ht="15.6" thickTop="1" thickBot="1">
      <c r="A80" s="100"/>
      <c r="B80" s="93" t="s">
        <v>103</v>
      </c>
      <c r="C80" s="94"/>
      <c r="D80" s="94"/>
      <c r="E80" s="94"/>
      <c r="F80" s="94"/>
      <c r="G80" s="94"/>
      <c r="H80" s="94"/>
      <c r="I80" s="94">
        <f t="shared" si="0"/>
        <v>0</v>
      </c>
      <c r="J80" s="95">
        <f t="shared" si="1"/>
        <v>0</v>
      </c>
      <c r="K80" s="96"/>
      <c r="L80" s="96"/>
      <c r="M80" s="97"/>
    </row>
    <row r="81" spans="1:13" ht="15" thickTop="1">
      <c r="A81" s="71" t="s">
        <v>164</v>
      </c>
      <c r="B81" s="72" t="s">
        <v>165</v>
      </c>
      <c r="C81" s="73"/>
      <c r="D81" s="73"/>
      <c r="E81" s="73"/>
      <c r="F81" s="73"/>
      <c r="G81" s="73"/>
      <c r="H81" s="73"/>
      <c r="I81" s="73">
        <f t="shared" si="0"/>
        <v>0</v>
      </c>
      <c r="J81" s="74">
        <f t="shared" si="1"/>
        <v>0</v>
      </c>
      <c r="K81" s="75"/>
      <c r="L81" s="75"/>
      <c r="M81" s="76"/>
    </row>
    <row r="82" spans="1:13">
      <c r="A82" s="71"/>
      <c r="B82" s="77" t="s">
        <v>166</v>
      </c>
      <c r="C82" s="32"/>
      <c r="D82" s="32"/>
      <c r="E82" s="32"/>
      <c r="F82" s="32"/>
      <c r="G82" s="32"/>
      <c r="H82" s="32"/>
      <c r="I82" s="32">
        <f t="shared" si="0"/>
        <v>0</v>
      </c>
      <c r="J82" s="78">
        <f t="shared" si="1"/>
        <v>0</v>
      </c>
      <c r="K82" s="34"/>
      <c r="L82" s="34"/>
      <c r="M82" s="35"/>
    </row>
    <row r="83" spans="1:13">
      <c r="A83" s="71"/>
      <c r="B83" s="77" t="s">
        <v>167</v>
      </c>
      <c r="C83" s="32"/>
      <c r="D83" s="32"/>
      <c r="E83" s="32"/>
      <c r="F83" s="32"/>
      <c r="G83" s="32"/>
      <c r="H83" s="32"/>
      <c r="I83" s="32">
        <f t="shared" si="0"/>
        <v>0</v>
      </c>
      <c r="J83" s="78">
        <f t="shared" si="1"/>
        <v>0</v>
      </c>
      <c r="K83" s="34"/>
      <c r="L83" s="34"/>
      <c r="M83" s="35"/>
    </row>
    <row r="84" spans="1:13">
      <c r="A84" s="71"/>
      <c r="B84" s="79"/>
      <c r="C84" s="39"/>
      <c r="D84" s="39"/>
      <c r="E84" s="39"/>
      <c r="F84" s="39"/>
      <c r="G84" s="39"/>
      <c r="H84" s="39"/>
      <c r="I84" s="32"/>
      <c r="J84" s="78"/>
      <c r="K84" s="34"/>
      <c r="L84" s="34"/>
      <c r="M84" s="35"/>
    </row>
    <row r="85" spans="1:13">
      <c r="A85" s="71"/>
      <c r="B85" s="79"/>
      <c r="C85" s="39"/>
      <c r="D85" s="39"/>
      <c r="E85" s="39"/>
      <c r="F85" s="39"/>
      <c r="G85" s="39"/>
      <c r="H85" s="39"/>
      <c r="I85" s="32"/>
      <c r="J85" s="78"/>
      <c r="K85" s="34"/>
      <c r="L85" s="34"/>
      <c r="M85" s="35"/>
    </row>
    <row r="86" spans="1:13" ht="15" thickBot="1">
      <c r="A86" s="71"/>
      <c r="B86" s="39"/>
      <c r="C86" s="39"/>
      <c r="D86" s="39"/>
      <c r="E86" s="39"/>
      <c r="F86" s="39"/>
      <c r="G86" s="39"/>
      <c r="H86" s="39"/>
      <c r="I86" s="39">
        <f t="shared" si="0"/>
        <v>0</v>
      </c>
      <c r="J86" s="80">
        <f t="shared" si="1"/>
        <v>0</v>
      </c>
      <c r="K86" s="81"/>
      <c r="L86" s="81"/>
      <c r="M86" s="82"/>
    </row>
    <row r="87" spans="1:13" ht="15.6" thickTop="1" thickBot="1">
      <c r="A87" s="100"/>
      <c r="B87" s="93" t="s">
        <v>103</v>
      </c>
      <c r="C87" s="94"/>
      <c r="D87" s="94"/>
      <c r="E87" s="94"/>
      <c r="F87" s="94"/>
      <c r="G87" s="94"/>
      <c r="H87" s="94"/>
      <c r="I87" s="94">
        <f t="shared" si="0"/>
        <v>0</v>
      </c>
      <c r="J87" s="95">
        <f t="shared" si="1"/>
        <v>0</v>
      </c>
      <c r="K87" s="96"/>
      <c r="L87" s="96"/>
      <c r="M87" s="97"/>
    </row>
    <row r="88" spans="1:13" ht="15" thickTop="1">
      <c r="A88" s="71" t="s">
        <v>168</v>
      </c>
      <c r="B88" s="72" t="s">
        <v>129</v>
      </c>
      <c r="C88" s="73"/>
      <c r="D88" s="73"/>
      <c r="E88" s="73"/>
      <c r="F88" s="73"/>
      <c r="G88" s="73"/>
      <c r="H88" s="73"/>
      <c r="I88" s="73">
        <f t="shared" si="0"/>
        <v>0</v>
      </c>
      <c r="J88" s="74">
        <f t="shared" si="1"/>
        <v>0</v>
      </c>
      <c r="K88" s="75"/>
      <c r="L88" s="75"/>
      <c r="M88" s="76"/>
    </row>
    <row r="89" spans="1:13">
      <c r="A89" s="71"/>
      <c r="B89" s="77" t="s">
        <v>169</v>
      </c>
      <c r="C89" s="32"/>
      <c r="D89" s="32"/>
      <c r="E89" s="32"/>
      <c r="F89" s="32"/>
      <c r="G89" s="32"/>
      <c r="H89" s="32"/>
      <c r="I89" s="32">
        <f t="shared" si="0"/>
        <v>0</v>
      </c>
      <c r="J89" s="78">
        <f t="shared" si="1"/>
        <v>0</v>
      </c>
      <c r="K89" s="34"/>
      <c r="L89" s="34"/>
      <c r="M89" s="35"/>
    </row>
    <row r="90" spans="1:13">
      <c r="A90" s="71"/>
      <c r="B90" s="77" t="s">
        <v>170</v>
      </c>
      <c r="C90" s="32"/>
      <c r="D90" s="32"/>
      <c r="E90" s="32"/>
      <c r="F90" s="32"/>
      <c r="G90" s="32"/>
      <c r="H90" s="32"/>
      <c r="I90" s="32">
        <f t="shared" si="0"/>
        <v>0</v>
      </c>
      <c r="J90" s="78">
        <f t="shared" si="1"/>
        <v>0</v>
      </c>
      <c r="K90" s="34"/>
      <c r="L90" s="34"/>
      <c r="M90" s="35"/>
    </row>
    <row r="91" spans="1:13">
      <c r="A91" s="71"/>
      <c r="B91" s="77" t="s">
        <v>171</v>
      </c>
      <c r="C91" s="32"/>
      <c r="D91" s="32"/>
      <c r="E91" s="32"/>
      <c r="F91" s="32"/>
      <c r="G91" s="32"/>
      <c r="H91" s="32"/>
      <c r="I91" s="32">
        <f t="shared" si="0"/>
        <v>0</v>
      </c>
      <c r="J91" s="78">
        <f t="shared" si="1"/>
        <v>0</v>
      </c>
      <c r="K91" s="34"/>
      <c r="L91" s="34"/>
      <c r="M91" s="35"/>
    </row>
    <row r="92" spans="1:13">
      <c r="A92" s="71"/>
      <c r="B92" s="77" t="s">
        <v>172</v>
      </c>
      <c r="C92" s="32"/>
      <c r="D92" s="32"/>
      <c r="E92" s="32"/>
      <c r="F92" s="32"/>
      <c r="G92" s="32"/>
      <c r="H92" s="32"/>
      <c r="I92" s="32">
        <f t="shared" si="0"/>
        <v>0</v>
      </c>
      <c r="J92" s="78">
        <f t="shared" si="1"/>
        <v>0</v>
      </c>
      <c r="K92" s="34"/>
      <c r="L92" s="34"/>
      <c r="M92" s="35"/>
    </row>
    <row r="93" spans="1:13" ht="26.4">
      <c r="A93" s="71"/>
      <c r="B93" s="77" t="s">
        <v>136</v>
      </c>
      <c r="C93" s="32"/>
      <c r="D93" s="32"/>
      <c r="E93" s="32"/>
      <c r="F93" s="32"/>
      <c r="G93" s="32"/>
      <c r="H93" s="32"/>
      <c r="I93" s="32">
        <f t="shared" si="0"/>
        <v>0</v>
      </c>
      <c r="J93" s="78">
        <f t="shared" si="1"/>
        <v>0</v>
      </c>
      <c r="K93" s="34"/>
      <c r="L93" s="34"/>
      <c r="M93" s="35"/>
    </row>
    <row r="94" spans="1:13">
      <c r="A94" s="71"/>
      <c r="B94" s="77" t="s">
        <v>173</v>
      </c>
      <c r="C94" s="32"/>
      <c r="D94" s="32"/>
      <c r="E94" s="32"/>
      <c r="F94" s="32"/>
      <c r="G94" s="32"/>
      <c r="H94" s="32"/>
      <c r="I94" s="32">
        <f t="shared" si="0"/>
        <v>0</v>
      </c>
      <c r="J94" s="78">
        <f t="shared" si="1"/>
        <v>0</v>
      </c>
      <c r="K94" s="34"/>
      <c r="L94" s="34"/>
      <c r="M94" s="35"/>
    </row>
    <row r="95" spans="1:13" ht="15" thickBot="1">
      <c r="A95" s="71"/>
      <c r="B95" s="39"/>
      <c r="C95" s="39"/>
      <c r="D95" s="39"/>
      <c r="E95" s="39"/>
      <c r="F95" s="39"/>
      <c r="G95" s="39"/>
      <c r="H95" s="39"/>
      <c r="I95" s="39">
        <f t="shared" si="0"/>
        <v>0</v>
      </c>
      <c r="J95" s="80">
        <f t="shared" si="1"/>
        <v>0</v>
      </c>
      <c r="K95" s="81"/>
      <c r="L95" s="81"/>
      <c r="M95" s="82"/>
    </row>
    <row r="96" spans="1:13" ht="15.6" thickTop="1" thickBot="1">
      <c r="A96" s="100"/>
      <c r="B96" s="110" t="s">
        <v>103</v>
      </c>
      <c r="C96" s="47"/>
      <c r="D96" s="47"/>
      <c r="E96" s="47"/>
      <c r="F96" s="47"/>
      <c r="G96" s="47"/>
      <c r="H96" s="47"/>
      <c r="I96" s="47">
        <f t="shared" si="0"/>
        <v>0</v>
      </c>
      <c r="J96" s="95">
        <f t="shared" si="1"/>
        <v>0</v>
      </c>
      <c r="K96" s="96"/>
      <c r="L96" s="96"/>
      <c r="M96" s="97"/>
    </row>
    <row r="97" spans="1:13" ht="15" thickTop="1">
      <c r="A97" s="71" t="s">
        <v>174</v>
      </c>
      <c r="B97" s="72" t="s">
        <v>175</v>
      </c>
      <c r="C97" s="73"/>
      <c r="D97" s="73"/>
      <c r="E97" s="73"/>
      <c r="F97" s="73"/>
      <c r="G97" s="73"/>
      <c r="H97" s="73"/>
      <c r="I97" s="73">
        <f t="shared" si="0"/>
        <v>0</v>
      </c>
      <c r="J97" s="74">
        <f t="shared" si="1"/>
        <v>0</v>
      </c>
      <c r="K97" s="75"/>
      <c r="L97" s="75"/>
      <c r="M97" s="76"/>
    </row>
    <row r="98" spans="1:13">
      <c r="A98" s="71"/>
      <c r="B98" s="77" t="s">
        <v>176</v>
      </c>
      <c r="C98" s="32"/>
      <c r="D98" s="32"/>
      <c r="E98" s="32"/>
      <c r="F98" s="32"/>
      <c r="G98" s="32"/>
      <c r="H98" s="32"/>
      <c r="I98" s="32">
        <f t="shared" si="0"/>
        <v>0</v>
      </c>
      <c r="J98" s="78">
        <f t="shared" si="1"/>
        <v>0</v>
      </c>
      <c r="K98" s="34"/>
      <c r="L98" s="34"/>
      <c r="M98" s="35"/>
    </row>
    <row r="99" spans="1:13">
      <c r="A99" s="71"/>
      <c r="B99" s="77" t="s">
        <v>177</v>
      </c>
      <c r="C99" s="32"/>
      <c r="D99" s="32"/>
      <c r="E99" s="32"/>
      <c r="F99" s="32"/>
      <c r="G99" s="32"/>
      <c r="H99" s="32"/>
      <c r="I99" s="32">
        <f t="shared" si="0"/>
        <v>0</v>
      </c>
      <c r="J99" s="78">
        <f t="shared" si="1"/>
        <v>0</v>
      </c>
      <c r="K99" s="34"/>
      <c r="L99" s="34"/>
      <c r="M99" s="35"/>
    </row>
    <row r="100" spans="1:13">
      <c r="A100" s="71"/>
      <c r="B100" s="77" t="s">
        <v>178</v>
      </c>
      <c r="C100" s="32"/>
      <c r="D100" s="32"/>
      <c r="E100" s="32"/>
      <c r="F100" s="32"/>
      <c r="G100" s="32"/>
      <c r="H100" s="32"/>
      <c r="I100" s="32">
        <f t="shared" si="0"/>
        <v>0</v>
      </c>
      <c r="J100" s="78">
        <f t="shared" si="1"/>
        <v>0</v>
      </c>
      <c r="K100" s="34"/>
      <c r="L100" s="34"/>
      <c r="M100" s="35"/>
    </row>
    <row r="101" spans="1:13">
      <c r="A101" s="71"/>
      <c r="B101" s="77" t="s">
        <v>179</v>
      </c>
      <c r="C101" s="32"/>
      <c r="D101" s="32"/>
      <c r="E101" s="32"/>
      <c r="F101" s="32"/>
      <c r="G101" s="32"/>
      <c r="H101" s="32"/>
      <c r="I101" s="32">
        <f t="shared" si="0"/>
        <v>0</v>
      </c>
      <c r="J101" s="78">
        <f t="shared" si="1"/>
        <v>0</v>
      </c>
      <c r="K101" s="34"/>
      <c r="L101" s="34"/>
      <c r="M101" s="35"/>
    </row>
    <row r="102" spans="1:13">
      <c r="A102" s="71"/>
      <c r="B102" s="77" t="s">
        <v>180</v>
      </c>
      <c r="C102" s="32"/>
      <c r="D102" s="32"/>
      <c r="E102" s="32"/>
      <c r="F102" s="32"/>
      <c r="G102" s="32"/>
      <c r="H102" s="32"/>
      <c r="I102" s="32">
        <f t="shared" si="0"/>
        <v>0</v>
      </c>
      <c r="J102" s="78">
        <f t="shared" si="1"/>
        <v>0</v>
      </c>
      <c r="K102" s="34"/>
      <c r="L102" s="34"/>
      <c r="M102" s="35"/>
    </row>
    <row r="103" spans="1:13" ht="15" thickBot="1">
      <c r="A103" s="71"/>
      <c r="B103" s="39"/>
      <c r="C103" s="39"/>
      <c r="D103" s="39"/>
      <c r="E103" s="39"/>
      <c r="F103" s="39"/>
      <c r="G103" s="39"/>
      <c r="H103" s="39"/>
      <c r="I103" s="39">
        <f t="shared" si="0"/>
        <v>0</v>
      </c>
      <c r="J103" s="80">
        <f t="shared" si="1"/>
        <v>0</v>
      </c>
      <c r="K103" s="81"/>
      <c r="L103" s="81"/>
      <c r="M103" s="82"/>
    </row>
    <row r="104" spans="1:13" ht="15.6" thickTop="1" thickBot="1">
      <c r="A104" s="100"/>
      <c r="B104" s="110" t="s">
        <v>103</v>
      </c>
      <c r="C104" s="47"/>
      <c r="D104" s="47"/>
      <c r="E104" s="47"/>
      <c r="F104" s="47"/>
      <c r="G104" s="47"/>
      <c r="H104" s="47"/>
      <c r="I104" s="47">
        <f t="shared" si="0"/>
        <v>0</v>
      </c>
      <c r="J104" s="95">
        <f t="shared" si="1"/>
        <v>0</v>
      </c>
      <c r="K104" s="96"/>
      <c r="L104" s="96"/>
      <c r="M104" s="97"/>
    </row>
    <row r="105" spans="1:13" ht="15" thickTop="1">
      <c r="A105" s="71" t="s">
        <v>181</v>
      </c>
      <c r="B105" s="72" t="s">
        <v>182</v>
      </c>
      <c r="C105" s="73"/>
      <c r="D105" s="73"/>
      <c r="E105" s="73"/>
      <c r="F105" s="73"/>
      <c r="G105" s="73"/>
      <c r="H105" s="73"/>
      <c r="I105" s="73">
        <f t="shared" si="0"/>
        <v>0</v>
      </c>
      <c r="J105" s="74">
        <f t="shared" si="1"/>
        <v>0</v>
      </c>
      <c r="K105" s="75"/>
      <c r="L105" s="75"/>
      <c r="M105" s="76"/>
    </row>
    <row r="106" spans="1:13">
      <c r="A106" s="71"/>
      <c r="B106" s="77" t="s">
        <v>183</v>
      </c>
      <c r="C106" s="32"/>
      <c r="D106" s="32"/>
      <c r="E106" s="32"/>
      <c r="F106" s="32"/>
      <c r="G106" s="32"/>
      <c r="H106" s="32"/>
      <c r="I106" s="32">
        <f t="shared" si="0"/>
        <v>0</v>
      </c>
      <c r="J106" s="78">
        <f t="shared" si="1"/>
        <v>0</v>
      </c>
      <c r="K106" s="34"/>
      <c r="L106" s="34"/>
      <c r="M106" s="35"/>
    </row>
    <row r="107" spans="1:13">
      <c r="A107" s="71"/>
      <c r="B107" s="77" t="s">
        <v>184</v>
      </c>
      <c r="C107" s="32"/>
      <c r="D107" s="32"/>
      <c r="E107" s="32"/>
      <c r="F107" s="32"/>
      <c r="G107" s="32"/>
      <c r="H107" s="32"/>
      <c r="I107" s="32">
        <f t="shared" si="0"/>
        <v>0</v>
      </c>
      <c r="J107" s="78">
        <f t="shared" si="1"/>
        <v>0</v>
      </c>
      <c r="K107" s="34"/>
      <c r="L107" s="34"/>
      <c r="M107" s="35"/>
    </row>
    <row r="108" spans="1:13">
      <c r="A108" s="71"/>
      <c r="B108" s="77" t="s">
        <v>185</v>
      </c>
      <c r="C108" s="32"/>
      <c r="D108" s="32"/>
      <c r="E108" s="32"/>
      <c r="F108" s="32"/>
      <c r="G108" s="32"/>
      <c r="H108" s="32"/>
      <c r="I108" s="32">
        <f t="shared" si="0"/>
        <v>0</v>
      </c>
      <c r="J108" s="78">
        <f t="shared" si="1"/>
        <v>0</v>
      </c>
      <c r="K108" s="34"/>
      <c r="L108" s="34"/>
      <c r="M108" s="35"/>
    </row>
    <row r="109" spans="1:13">
      <c r="A109" s="71"/>
      <c r="B109" s="77" t="s">
        <v>186</v>
      </c>
      <c r="C109" s="32"/>
      <c r="D109" s="32"/>
      <c r="E109" s="32"/>
      <c r="F109" s="32"/>
      <c r="G109" s="32"/>
      <c r="H109" s="32"/>
      <c r="I109" s="32">
        <f t="shared" si="0"/>
        <v>0</v>
      </c>
      <c r="J109" s="78">
        <f t="shared" si="1"/>
        <v>0</v>
      </c>
      <c r="K109" s="34"/>
      <c r="L109" s="34"/>
      <c r="M109" s="35"/>
    </row>
    <row r="110" spans="1:13">
      <c r="A110" s="71"/>
      <c r="B110" s="77" t="s">
        <v>187</v>
      </c>
      <c r="C110" s="32"/>
      <c r="D110" s="32"/>
      <c r="E110" s="32"/>
      <c r="F110" s="32"/>
      <c r="G110" s="32"/>
      <c r="H110" s="32"/>
      <c r="I110" s="32">
        <f t="shared" si="0"/>
        <v>0</v>
      </c>
      <c r="J110" s="78">
        <f t="shared" si="1"/>
        <v>0</v>
      </c>
      <c r="K110" s="34"/>
      <c r="L110" s="34"/>
      <c r="M110" s="35"/>
    </row>
    <row r="111" spans="1:13">
      <c r="A111" s="71"/>
      <c r="B111" s="77" t="s">
        <v>188</v>
      </c>
      <c r="C111" s="32"/>
      <c r="D111" s="32"/>
      <c r="E111" s="32"/>
      <c r="F111" s="32"/>
      <c r="G111" s="32"/>
      <c r="H111" s="32"/>
      <c r="I111" s="32">
        <f t="shared" si="0"/>
        <v>0</v>
      </c>
      <c r="J111" s="78">
        <f t="shared" si="1"/>
        <v>0</v>
      </c>
      <c r="K111" s="34"/>
      <c r="L111" s="34"/>
      <c r="M111" s="35"/>
    </row>
    <row r="112" spans="1:13">
      <c r="A112" s="71"/>
      <c r="B112" s="77" t="s">
        <v>189</v>
      </c>
      <c r="C112" s="32"/>
      <c r="D112" s="32"/>
      <c r="E112" s="32"/>
      <c r="F112" s="32"/>
      <c r="G112" s="32"/>
      <c r="H112" s="32"/>
      <c r="I112" s="32">
        <f t="shared" si="0"/>
        <v>0</v>
      </c>
      <c r="J112" s="78">
        <f t="shared" si="1"/>
        <v>0</v>
      </c>
      <c r="K112" s="34"/>
      <c r="L112" s="34"/>
      <c r="M112" s="35"/>
    </row>
    <row r="113" spans="1:13" ht="15" thickBot="1">
      <c r="A113" s="71"/>
      <c r="B113" s="39"/>
      <c r="C113" s="39"/>
      <c r="D113" s="39"/>
      <c r="E113" s="39"/>
      <c r="F113" s="39"/>
      <c r="G113" s="39"/>
      <c r="H113" s="39"/>
      <c r="I113" s="39">
        <f t="shared" si="0"/>
        <v>0</v>
      </c>
      <c r="J113" s="80">
        <f t="shared" si="1"/>
        <v>0</v>
      </c>
      <c r="K113" s="81"/>
      <c r="L113" s="81"/>
      <c r="M113" s="82"/>
    </row>
    <row r="114" spans="1:13" ht="15.6" thickTop="1" thickBot="1">
      <c r="A114" s="100"/>
      <c r="B114" s="110" t="s">
        <v>103</v>
      </c>
      <c r="C114" s="47"/>
      <c r="D114" s="47"/>
      <c r="E114" s="47"/>
      <c r="F114" s="47"/>
      <c r="G114" s="47"/>
      <c r="H114" s="47"/>
      <c r="I114" s="47">
        <f t="shared" si="0"/>
        <v>0</v>
      </c>
      <c r="J114" s="95">
        <f t="shared" si="1"/>
        <v>0</v>
      </c>
      <c r="K114" s="96"/>
      <c r="L114" s="96"/>
      <c r="M114" s="97"/>
    </row>
    <row r="115" spans="1:13" ht="15" thickTop="1">
      <c r="A115" s="71" t="s">
        <v>190</v>
      </c>
      <c r="B115" s="72" t="s">
        <v>191</v>
      </c>
      <c r="C115" s="73"/>
      <c r="D115" s="73"/>
      <c r="E115" s="73"/>
      <c r="F115" s="73"/>
      <c r="G115" s="73"/>
      <c r="H115" s="73"/>
      <c r="I115" s="73">
        <f t="shared" si="0"/>
        <v>0</v>
      </c>
      <c r="J115" s="74">
        <f t="shared" si="1"/>
        <v>0</v>
      </c>
      <c r="K115" s="75"/>
      <c r="L115" s="75"/>
      <c r="M115" s="76"/>
    </row>
    <row r="116" spans="1:13">
      <c r="A116" s="71"/>
      <c r="B116" s="77" t="s">
        <v>192</v>
      </c>
      <c r="C116" s="32"/>
      <c r="D116" s="32"/>
      <c r="E116" s="32"/>
      <c r="F116" s="32"/>
      <c r="G116" s="32"/>
      <c r="H116" s="32"/>
      <c r="I116" s="32">
        <f t="shared" si="0"/>
        <v>0</v>
      </c>
      <c r="J116" s="78">
        <f t="shared" si="1"/>
        <v>0</v>
      </c>
      <c r="K116" s="34"/>
      <c r="L116" s="34"/>
      <c r="M116" s="35"/>
    </row>
    <row r="117" spans="1:13">
      <c r="A117" s="71"/>
      <c r="B117" s="77" t="s">
        <v>193</v>
      </c>
      <c r="C117" s="32"/>
      <c r="D117" s="32"/>
      <c r="E117" s="32"/>
      <c r="F117" s="32"/>
      <c r="G117" s="32"/>
      <c r="H117" s="32"/>
      <c r="I117" s="32">
        <f t="shared" si="0"/>
        <v>0</v>
      </c>
      <c r="J117" s="78">
        <f t="shared" si="1"/>
        <v>0</v>
      </c>
      <c r="K117" s="34"/>
      <c r="L117" s="34"/>
      <c r="M117" s="35"/>
    </row>
    <row r="118" spans="1:13">
      <c r="A118" s="71"/>
      <c r="B118" s="77" t="s">
        <v>194</v>
      </c>
      <c r="C118" s="32"/>
      <c r="D118" s="32"/>
      <c r="E118" s="32"/>
      <c r="F118" s="32"/>
      <c r="G118" s="32"/>
      <c r="H118" s="32"/>
      <c r="I118" s="32">
        <f t="shared" si="0"/>
        <v>0</v>
      </c>
      <c r="J118" s="78">
        <f t="shared" si="1"/>
        <v>0</v>
      </c>
      <c r="K118" s="34"/>
      <c r="L118" s="34"/>
      <c r="M118" s="35"/>
    </row>
    <row r="119" spans="1:13">
      <c r="A119" s="71"/>
      <c r="B119" s="111" t="s">
        <v>195</v>
      </c>
      <c r="C119" s="32"/>
      <c r="D119" s="32"/>
      <c r="E119" s="32"/>
      <c r="F119" s="32"/>
      <c r="G119" s="32"/>
      <c r="H119" s="32"/>
      <c r="I119" s="32">
        <f t="shared" si="0"/>
        <v>0</v>
      </c>
      <c r="J119" s="78">
        <f t="shared" si="1"/>
        <v>0</v>
      </c>
      <c r="K119" s="34"/>
      <c r="L119" s="34"/>
      <c r="M119" s="35"/>
    </row>
    <row r="120" spans="1:13">
      <c r="A120" s="71"/>
      <c r="B120" s="77" t="s">
        <v>196</v>
      </c>
      <c r="C120" s="32"/>
      <c r="D120" s="32"/>
      <c r="E120" s="32"/>
      <c r="F120" s="32"/>
      <c r="G120" s="32"/>
      <c r="H120" s="32"/>
      <c r="I120" s="32">
        <f t="shared" si="0"/>
        <v>0</v>
      </c>
      <c r="J120" s="78">
        <f t="shared" si="1"/>
        <v>0</v>
      </c>
      <c r="K120" s="34"/>
      <c r="L120" s="34"/>
      <c r="M120" s="35"/>
    </row>
    <row r="121" spans="1:13">
      <c r="A121" s="71"/>
      <c r="B121" s="77" t="s">
        <v>197</v>
      </c>
      <c r="C121" s="32"/>
      <c r="D121" s="32"/>
      <c r="E121" s="32"/>
      <c r="F121" s="32"/>
      <c r="G121" s="32"/>
      <c r="H121" s="32"/>
      <c r="I121" s="32">
        <f t="shared" si="0"/>
        <v>0</v>
      </c>
      <c r="J121" s="78">
        <f t="shared" si="1"/>
        <v>0</v>
      </c>
      <c r="K121" s="34"/>
      <c r="L121" s="34"/>
      <c r="M121" s="35"/>
    </row>
    <row r="122" spans="1:13">
      <c r="A122" s="71"/>
      <c r="B122" s="77" t="s">
        <v>198</v>
      </c>
      <c r="C122" s="32"/>
      <c r="D122" s="32"/>
      <c r="E122" s="32"/>
      <c r="F122" s="32"/>
      <c r="G122" s="32"/>
      <c r="H122" s="32"/>
      <c r="I122" s="32">
        <f t="shared" si="0"/>
        <v>0</v>
      </c>
      <c r="J122" s="78">
        <f t="shared" si="1"/>
        <v>0</v>
      </c>
      <c r="K122" s="34"/>
      <c r="L122" s="34"/>
      <c r="M122" s="35"/>
    </row>
    <row r="123" spans="1:13">
      <c r="A123" s="71"/>
      <c r="B123" s="112" t="s">
        <v>199</v>
      </c>
      <c r="C123" s="32"/>
      <c r="D123" s="32"/>
      <c r="E123" s="32"/>
      <c r="F123" s="32"/>
      <c r="G123" s="32"/>
      <c r="H123" s="32"/>
      <c r="I123" s="32">
        <f t="shared" si="0"/>
        <v>0</v>
      </c>
      <c r="J123" s="78">
        <f t="shared" si="1"/>
        <v>0</v>
      </c>
      <c r="K123" s="34"/>
      <c r="L123" s="34"/>
      <c r="M123" s="35"/>
    </row>
    <row r="124" spans="1:13" ht="15" thickBot="1">
      <c r="A124" s="71"/>
      <c r="B124" s="39"/>
      <c r="C124" s="39"/>
      <c r="D124" s="39"/>
      <c r="E124" s="39"/>
      <c r="F124" s="39"/>
      <c r="G124" s="39"/>
      <c r="H124" s="39"/>
      <c r="I124" s="39">
        <f t="shared" si="0"/>
        <v>0</v>
      </c>
      <c r="J124" s="80">
        <f t="shared" si="1"/>
        <v>0</v>
      </c>
      <c r="K124" s="81"/>
      <c r="L124" s="81"/>
      <c r="M124" s="82"/>
    </row>
    <row r="125" spans="1:13" ht="15.6" thickTop="1" thickBot="1">
      <c r="A125" s="100"/>
      <c r="B125" s="110" t="s">
        <v>103</v>
      </c>
      <c r="C125" s="47"/>
      <c r="D125" s="47"/>
      <c r="E125" s="47"/>
      <c r="F125" s="47" t="s">
        <v>200</v>
      </c>
      <c r="G125" s="47"/>
      <c r="H125" s="47"/>
      <c r="I125" s="47" t="e">
        <f t="shared" si="0"/>
        <v>#VALUE!</v>
      </c>
      <c r="J125" s="95" t="e">
        <f t="shared" si="1"/>
        <v>#VALUE!</v>
      </c>
      <c r="K125" s="96"/>
      <c r="L125" s="96"/>
      <c r="M125" s="97"/>
    </row>
    <row r="126" spans="1:13" ht="15" thickTop="1">
      <c r="A126" s="71" t="s">
        <v>201</v>
      </c>
      <c r="B126" s="72" t="s">
        <v>202</v>
      </c>
      <c r="C126" s="73"/>
      <c r="D126" s="73"/>
      <c r="E126" s="73"/>
      <c r="F126" s="73"/>
      <c r="G126" s="73"/>
      <c r="H126" s="73"/>
      <c r="I126" s="73">
        <f t="shared" si="0"/>
        <v>0</v>
      </c>
      <c r="J126" s="74">
        <f t="shared" si="1"/>
        <v>0</v>
      </c>
      <c r="K126" s="75"/>
      <c r="L126" s="75"/>
      <c r="M126" s="76"/>
    </row>
    <row r="127" spans="1:13">
      <c r="A127" s="71"/>
      <c r="B127" s="77" t="s">
        <v>203</v>
      </c>
      <c r="C127" s="32"/>
      <c r="D127" s="32"/>
      <c r="E127" s="32"/>
      <c r="F127" s="32"/>
      <c r="G127" s="32"/>
      <c r="H127" s="32"/>
      <c r="I127" s="32">
        <f t="shared" si="0"/>
        <v>0</v>
      </c>
      <c r="J127" s="78">
        <f t="shared" si="1"/>
        <v>0</v>
      </c>
      <c r="K127" s="34"/>
      <c r="L127" s="34"/>
      <c r="M127" s="35"/>
    </row>
    <row r="128" spans="1:13">
      <c r="A128" s="71"/>
      <c r="B128" s="77" t="s">
        <v>204</v>
      </c>
      <c r="C128" s="32"/>
      <c r="D128" s="32"/>
      <c r="E128" s="32"/>
      <c r="F128" s="32"/>
      <c r="G128" s="32"/>
      <c r="H128" s="32"/>
      <c r="I128" s="32">
        <f t="shared" si="0"/>
        <v>0</v>
      </c>
      <c r="J128" s="78">
        <f t="shared" si="1"/>
        <v>0</v>
      </c>
      <c r="K128" s="34"/>
      <c r="L128" s="34"/>
      <c r="M128" s="35"/>
    </row>
    <row r="129" spans="1:13">
      <c r="A129" s="71"/>
      <c r="B129" s="111" t="s">
        <v>204</v>
      </c>
      <c r="C129" s="32"/>
      <c r="D129" s="32"/>
      <c r="E129" s="32"/>
      <c r="F129" s="32"/>
      <c r="G129" s="32"/>
      <c r="H129" s="32"/>
      <c r="I129" s="32">
        <f t="shared" si="0"/>
        <v>0</v>
      </c>
      <c r="J129" s="78">
        <f t="shared" si="1"/>
        <v>0</v>
      </c>
      <c r="K129" s="34"/>
      <c r="L129" s="34"/>
      <c r="M129" s="35"/>
    </row>
    <row r="130" spans="1:13">
      <c r="A130" s="71"/>
      <c r="B130" s="111" t="s">
        <v>204</v>
      </c>
      <c r="C130" s="32"/>
      <c r="D130" s="32"/>
      <c r="E130" s="32"/>
      <c r="F130" s="32"/>
      <c r="G130" s="32"/>
      <c r="H130" s="32"/>
      <c r="I130" s="32">
        <f t="shared" si="0"/>
        <v>0</v>
      </c>
      <c r="J130" s="78">
        <f t="shared" si="1"/>
        <v>0</v>
      </c>
      <c r="K130" s="34"/>
      <c r="L130" s="34"/>
      <c r="M130" s="35"/>
    </row>
    <row r="131" spans="1:13">
      <c r="A131" s="71"/>
      <c r="B131" s="77" t="s">
        <v>205</v>
      </c>
      <c r="C131" s="32"/>
      <c r="D131" s="32"/>
      <c r="E131" s="32"/>
      <c r="F131" s="32"/>
      <c r="G131" s="32"/>
      <c r="H131" s="32"/>
      <c r="I131" s="32">
        <f t="shared" si="0"/>
        <v>0</v>
      </c>
      <c r="J131" s="78">
        <f t="shared" si="1"/>
        <v>0</v>
      </c>
      <c r="K131" s="34"/>
      <c r="L131" s="34"/>
      <c r="M131" s="35"/>
    </row>
    <row r="132" spans="1:13">
      <c r="A132" s="71"/>
      <c r="B132" s="77" t="s">
        <v>206</v>
      </c>
      <c r="C132" s="32"/>
      <c r="D132" s="32"/>
      <c r="E132" s="32"/>
      <c r="F132" s="32"/>
      <c r="G132" s="32"/>
      <c r="H132" s="32"/>
      <c r="I132" s="32">
        <f t="shared" si="0"/>
        <v>0</v>
      </c>
      <c r="J132" s="78">
        <f t="shared" si="1"/>
        <v>0</v>
      </c>
      <c r="K132" s="34"/>
      <c r="L132" s="34"/>
      <c r="M132" s="35"/>
    </row>
    <row r="133" spans="1:13" ht="39.6">
      <c r="A133" s="71"/>
      <c r="B133" s="77" t="s">
        <v>207</v>
      </c>
      <c r="C133" s="32"/>
      <c r="D133" s="32"/>
      <c r="E133" s="32"/>
      <c r="F133" s="32"/>
      <c r="G133" s="32"/>
      <c r="H133" s="32"/>
      <c r="I133" s="32">
        <f t="shared" si="0"/>
        <v>0</v>
      </c>
      <c r="J133" s="78">
        <f t="shared" si="1"/>
        <v>0</v>
      </c>
      <c r="K133" s="34"/>
      <c r="L133" s="34"/>
      <c r="M133" s="35"/>
    </row>
    <row r="134" spans="1:13" ht="39.6">
      <c r="A134" s="71"/>
      <c r="B134" s="77" t="s">
        <v>207</v>
      </c>
      <c r="C134" s="32"/>
      <c r="D134" s="32"/>
      <c r="E134" s="32"/>
      <c r="F134" s="32"/>
      <c r="G134" s="32"/>
      <c r="H134" s="32"/>
      <c r="I134" s="32">
        <f t="shared" si="0"/>
        <v>0</v>
      </c>
      <c r="J134" s="78">
        <f t="shared" si="1"/>
        <v>0</v>
      </c>
      <c r="K134" s="34"/>
      <c r="L134" s="34"/>
      <c r="M134" s="35"/>
    </row>
    <row r="135" spans="1:13">
      <c r="A135" s="71"/>
      <c r="B135" s="77" t="s">
        <v>189</v>
      </c>
      <c r="C135" s="32"/>
      <c r="D135" s="32"/>
      <c r="E135" s="32"/>
      <c r="F135" s="32"/>
      <c r="G135" s="32"/>
      <c r="H135" s="32"/>
      <c r="I135" s="32">
        <f t="shared" si="0"/>
        <v>0</v>
      </c>
      <c r="J135" s="78">
        <f t="shared" si="1"/>
        <v>0</v>
      </c>
      <c r="K135" s="34"/>
      <c r="L135" s="34"/>
      <c r="M135" s="35"/>
    </row>
    <row r="136" spans="1:13" ht="15" thickBot="1">
      <c r="A136" s="71"/>
      <c r="B136" s="79"/>
      <c r="C136" s="39"/>
      <c r="D136" s="39"/>
      <c r="E136" s="39"/>
      <c r="F136" s="39"/>
      <c r="G136" s="39"/>
      <c r="H136" s="39"/>
      <c r="I136" s="39">
        <f t="shared" si="0"/>
        <v>0</v>
      </c>
      <c r="J136" s="80">
        <f t="shared" si="1"/>
        <v>0</v>
      </c>
      <c r="K136" s="81"/>
      <c r="L136" s="81"/>
      <c r="M136" s="82"/>
    </row>
    <row r="137" spans="1:13" ht="15.6" thickTop="1" thickBot="1">
      <c r="A137" s="100"/>
      <c r="B137" s="110" t="s">
        <v>103</v>
      </c>
      <c r="C137" s="47"/>
      <c r="D137" s="47"/>
      <c r="E137" s="47"/>
      <c r="F137" s="47"/>
      <c r="G137" s="47"/>
      <c r="H137" s="47"/>
      <c r="I137" s="47">
        <f t="shared" si="0"/>
        <v>0</v>
      </c>
      <c r="J137" s="95">
        <f t="shared" si="1"/>
        <v>0</v>
      </c>
      <c r="K137" s="96"/>
      <c r="L137" s="96"/>
      <c r="M137" s="97"/>
    </row>
    <row r="138" spans="1:13" ht="15" thickTop="1">
      <c r="A138" s="113" t="s">
        <v>208</v>
      </c>
      <c r="B138" s="72" t="s">
        <v>209</v>
      </c>
      <c r="C138" s="73"/>
      <c r="D138" s="73"/>
      <c r="E138" s="73"/>
      <c r="F138" s="73"/>
      <c r="G138" s="73"/>
      <c r="H138" s="73"/>
      <c r="I138" s="73">
        <f t="shared" si="0"/>
        <v>0</v>
      </c>
      <c r="J138" s="74">
        <f t="shared" si="1"/>
        <v>0</v>
      </c>
      <c r="K138" s="75"/>
      <c r="L138" s="75"/>
      <c r="M138" s="76"/>
    </row>
    <row r="139" spans="1:13">
      <c r="A139" s="71"/>
      <c r="B139" s="77" t="s">
        <v>210</v>
      </c>
      <c r="C139" s="32"/>
      <c r="D139" s="32"/>
      <c r="E139" s="32"/>
      <c r="F139" s="32"/>
      <c r="G139" s="32"/>
      <c r="H139" s="32"/>
      <c r="I139" s="32">
        <f t="shared" si="0"/>
        <v>0</v>
      </c>
      <c r="J139" s="78">
        <f t="shared" si="1"/>
        <v>0</v>
      </c>
      <c r="K139" s="34"/>
      <c r="L139" s="34"/>
      <c r="M139" s="35"/>
    </row>
    <row r="140" spans="1:13">
      <c r="A140" s="71"/>
      <c r="B140" s="77" t="s">
        <v>211</v>
      </c>
      <c r="C140" s="32"/>
      <c r="D140" s="32"/>
      <c r="E140" s="32"/>
      <c r="F140" s="32"/>
      <c r="G140" s="32"/>
      <c r="H140" s="32"/>
      <c r="I140" s="32">
        <f t="shared" si="0"/>
        <v>0</v>
      </c>
      <c r="J140" s="78">
        <f t="shared" si="1"/>
        <v>0</v>
      </c>
      <c r="K140" s="34"/>
      <c r="L140" s="34"/>
      <c r="M140" s="35"/>
    </row>
    <row r="141" spans="1:13">
      <c r="A141" s="71"/>
      <c r="B141" s="77" t="s">
        <v>212</v>
      </c>
      <c r="C141" s="32"/>
      <c r="D141" s="32"/>
      <c r="E141" s="32"/>
      <c r="F141" s="32"/>
      <c r="G141" s="32"/>
      <c r="H141" s="32"/>
      <c r="I141" s="32">
        <f t="shared" si="0"/>
        <v>0</v>
      </c>
      <c r="J141" s="78">
        <f t="shared" si="1"/>
        <v>0</v>
      </c>
      <c r="K141" s="34"/>
      <c r="L141" s="34"/>
      <c r="M141" s="35"/>
    </row>
    <row r="142" spans="1:13">
      <c r="A142" s="71"/>
      <c r="B142" s="77" t="s">
        <v>213</v>
      </c>
      <c r="C142" s="32"/>
      <c r="D142" s="32"/>
      <c r="E142" s="32"/>
      <c r="F142" s="32"/>
      <c r="G142" s="32"/>
      <c r="H142" s="32"/>
      <c r="I142" s="32">
        <f t="shared" si="0"/>
        <v>0</v>
      </c>
      <c r="J142" s="78">
        <f t="shared" si="1"/>
        <v>0</v>
      </c>
      <c r="K142" s="34"/>
      <c r="L142" s="34"/>
      <c r="M142" s="35"/>
    </row>
    <row r="143" spans="1:13">
      <c r="A143" s="71"/>
      <c r="B143" s="77"/>
      <c r="C143" s="32"/>
      <c r="D143" s="32"/>
      <c r="E143" s="32"/>
      <c r="F143" s="32"/>
      <c r="G143" s="32"/>
      <c r="H143" s="32"/>
      <c r="I143" s="32">
        <f t="shared" si="0"/>
        <v>0</v>
      </c>
      <c r="J143" s="78">
        <f t="shared" si="1"/>
        <v>0</v>
      </c>
      <c r="K143" s="34"/>
      <c r="L143" s="34"/>
      <c r="M143" s="35"/>
    </row>
    <row r="144" spans="1:13" ht="15" thickBot="1">
      <c r="A144" s="71"/>
      <c r="B144" s="39"/>
      <c r="C144" s="39"/>
      <c r="D144" s="39"/>
      <c r="E144" s="39"/>
      <c r="F144" s="39"/>
      <c r="G144" s="39"/>
      <c r="H144" s="39"/>
      <c r="I144" s="32">
        <f t="shared" si="0"/>
        <v>0</v>
      </c>
      <c r="J144" s="78">
        <f t="shared" si="1"/>
        <v>0</v>
      </c>
      <c r="K144" s="34"/>
      <c r="L144" s="34"/>
      <c r="M144" s="35"/>
    </row>
    <row r="145" spans="1:13" ht="15.6" thickTop="1" thickBot="1">
      <c r="A145" s="114"/>
      <c r="B145" s="115" t="s">
        <v>103</v>
      </c>
      <c r="C145" s="94"/>
      <c r="D145" s="94"/>
      <c r="E145" s="94"/>
      <c r="F145" s="94"/>
      <c r="G145" s="94"/>
      <c r="H145" s="94"/>
      <c r="I145" s="116">
        <f t="shared" si="0"/>
        <v>0</v>
      </c>
      <c r="J145" s="78">
        <f t="shared" si="1"/>
        <v>0</v>
      </c>
      <c r="K145" s="34"/>
      <c r="L145" s="34"/>
      <c r="M145" s="35"/>
    </row>
    <row r="146" spans="1:13" ht="15" thickTop="1">
      <c r="A146" s="90" t="s">
        <v>202</v>
      </c>
      <c r="B146" s="72" t="s">
        <v>122</v>
      </c>
      <c r="C146" s="73"/>
      <c r="D146" s="73"/>
      <c r="E146" s="73"/>
      <c r="F146" s="73"/>
      <c r="G146" s="73"/>
      <c r="H146" s="73"/>
      <c r="I146" s="32">
        <f t="shared" si="0"/>
        <v>0</v>
      </c>
      <c r="J146" s="78">
        <f t="shared" si="1"/>
        <v>0</v>
      </c>
      <c r="K146" s="34"/>
      <c r="L146" s="34"/>
      <c r="M146" s="35"/>
    </row>
    <row r="147" spans="1:13">
      <c r="A147" s="71"/>
      <c r="B147" s="77" t="s">
        <v>129</v>
      </c>
      <c r="C147" s="32"/>
      <c r="D147" s="32"/>
      <c r="E147" s="32"/>
      <c r="F147" s="32"/>
      <c r="G147" s="32"/>
      <c r="H147" s="32"/>
      <c r="I147" s="32">
        <f t="shared" si="0"/>
        <v>0</v>
      </c>
      <c r="J147" s="78">
        <f t="shared" si="1"/>
        <v>0</v>
      </c>
      <c r="K147" s="34"/>
      <c r="L147" s="34"/>
      <c r="M147" s="35"/>
    </row>
    <row r="148" spans="1:13">
      <c r="A148" s="71"/>
      <c r="B148" s="77" t="s">
        <v>214</v>
      </c>
      <c r="C148" s="32"/>
      <c r="D148" s="32"/>
      <c r="E148" s="32"/>
      <c r="F148" s="32"/>
      <c r="G148" s="32"/>
      <c r="H148" s="32"/>
      <c r="I148" s="32">
        <f t="shared" si="0"/>
        <v>0</v>
      </c>
      <c r="J148" s="78">
        <f t="shared" si="1"/>
        <v>0</v>
      </c>
      <c r="K148" s="34"/>
      <c r="L148" s="34"/>
      <c r="M148" s="35"/>
    </row>
    <row r="149" spans="1:13">
      <c r="A149" s="71"/>
      <c r="B149" s="77" t="s">
        <v>215</v>
      </c>
      <c r="C149" s="32"/>
      <c r="D149" s="32"/>
      <c r="E149" s="32"/>
      <c r="F149" s="32"/>
      <c r="G149" s="32"/>
      <c r="H149" s="32"/>
      <c r="I149" s="32">
        <f t="shared" si="0"/>
        <v>0</v>
      </c>
      <c r="J149" s="78">
        <f t="shared" si="1"/>
        <v>0</v>
      </c>
      <c r="K149" s="34"/>
      <c r="L149" s="34"/>
      <c r="M149" s="35"/>
    </row>
    <row r="150" spans="1:13">
      <c r="A150" s="71"/>
      <c r="B150" s="77" t="s">
        <v>189</v>
      </c>
      <c r="C150" s="32"/>
      <c r="D150" s="32"/>
      <c r="E150" s="32"/>
      <c r="F150" s="32"/>
      <c r="G150" s="32"/>
      <c r="H150" s="32"/>
      <c r="I150" s="32">
        <f t="shared" si="0"/>
        <v>0</v>
      </c>
      <c r="J150" s="78">
        <f t="shared" si="1"/>
        <v>0</v>
      </c>
      <c r="K150" s="34"/>
      <c r="L150" s="34"/>
      <c r="M150" s="35"/>
    </row>
    <row r="151" spans="1:13" ht="15" thickBot="1">
      <c r="A151" s="71"/>
      <c r="B151" s="39"/>
      <c r="C151" s="39"/>
      <c r="D151" s="39"/>
      <c r="E151" s="39"/>
      <c r="F151" s="39"/>
      <c r="G151" s="39"/>
      <c r="H151" s="39"/>
      <c r="I151" s="32">
        <f t="shared" si="0"/>
        <v>0</v>
      </c>
      <c r="J151" s="78">
        <f t="shared" si="1"/>
        <v>0</v>
      </c>
      <c r="K151" s="34"/>
      <c r="L151" s="34"/>
      <c r="M151" s="35"/>
    </row>
    <row r="152" spans="1:13" ht="15.6" thickTop="1" thickBot="1">
      <c r="A152" s="114"/>
      <c r="B152" s="115" t="s">
        <v>103</v>
      </c>
      <c r="C152" s="94"/>
      <c r="D152" s="94"/>
      <c r="E152" s="94"/>
      <c r="F152" s="94"/>
      <c r="G152" s="94"/>
      <c r="H152" s="94"/>
      <c r="I152" s="116">
        <f t="shared" si="0"/>
        <v>0</v>
      </c>
      <c r="J152" s="78">
        <f t="shared" si="1"/>
        <v>0</v>
      </c>
      <c r="K152" s="34"/>
      <c r="L152" s="34"/>
      <c r="M152" s="35"/>
    </row>
    <row r="153" spans="1:13" ht="15" thickTop="1">
      <c r="A153" s="90" t="s">
        <v>216</v>
      </c>
      <c r="B153" s="72" t="s">
        <v>217</v>
      </c>
      <c r="C153" s="73"/>
      <c r="D153" s="73"/>
      <c r="E153" s="73"/>
      <c r="F153" s="73"/>
      <c r="G153" s="73"/>
      <c r="H153" s="73"/>
      <c r="I153" s="32">
        <f t="shared" si="0"/>
        <v>0</v>
      </c>
      <c r="J153" s="78">
        <f t="shared" si="1"/>
        <v>0</v>
      </c>
      <c r="K153" s="34"/>
      <c r="L153" s="34"/>
      <c r="M153" s="35"/>
    </row>
    <row r="154" spans="1:13">
      <c r="A154" s="71"/>
      <c r="B154" s="77" t="s">
        <v>218</v>
      </c>
      <c r="C154" s="32"/>
      <c r="D154" s="32"/>
      <c r="E154" s="32"/>
      <c r="F154" s="32"/>
      <c r="G154" s="32"/>
      <c r="H154" s="32"/>
      <c r="I154" s="32">
        <f t="shared" si="0"/>
        <v>0</v>
      </c>
      <c r="J154" s="78">
        <f t="shared" si="1"/>
        <v>0</v>
      </c>
      <c r="K154" s="34"/>
      <c r="L154" s="34"/>
      <c r="M154" s="35"/>
    </row>
    <row r="155" spans="1:13">
      <c r="A155" s="71"/>
      <c r="B155" s="77" t="s">
        <v>219</v>
      </c>
      <c r="C155" s="32"/>
      <c r="D155" s="32"/>
      <c r="E155" s="32"/>
      <c r="F155" s="32"/>
      <c r="G155" s="32"/>
      <c r="H155" s="32"/>
      <c r="I155" s="32">
        <f t="shared" si="0"/>
        <v>0</v>
      </c>
      <c r="J155" s="78">
        <f t="shared" si="1"/>
        <v>0</v>
      </c>
      <c r="K155" s="34"/>
      <c r="L155" s="34"/>
      <c r="M155" s="35"/>
    </row>
    <row r="156" spans="1:13" ht="15" thickBot="1">
      <c r="A156" s="71"/>
      <c r="B156" s="39"/>
      <c r="C156" s="39"/>
      <c r="D156" s="39"/>
      <c r="E156" s="39"/>
      <c r="F156" s="39"/>
      <c r="G156" s="39"/>
      <c r="H156" s="39"/>
      <c r="I156" s="32">
        <f t="shared" si="0"/>
        <v>0</v>
      </c>
      <c r="J156" s="78">
        <f t="shared" si="1"/>
        <v>0</v>
      </c>
      <c r="K156" s="34"/>
      <c r="L156" s="34"/>
      <c r="M156" s="35"/>
    </row>
    <row r="157" spans="1:13" ht="15.6" thickTop="1" thickBot="1">
      <c r="A157" s="114"/>
      <c r="B157" s="115" t="s">
        <v>103</v>
      </c>
      <c r="C157" s="94"/>
      <c r="D157" s="94"/>
      <c r="E157" s="94"/>
      <c r="F157" s="94"/>
      <c r="G157" s="94"/>
      <c r="H157" s="94"/>
      <c r="I157" s="116">
        <f t="shared" si="0"/>
        <v>0</v>
      </c>
      <c r="J157" s="78">
        <f t="shared" si="1"/>
        <v>0</v>
      </c>
      <c r="K157" s="34"/>
      <c r="L157" s="34"/>
      <c r="M157" s="35"/>
    </row>
    <row r="158" spans="1:13" ht="15" thickTop="1">
      <c r="A158" s="117"/>
      <c r="B158" s="73"/>
      <c r="C158" s="73"/>
      <c r="D158" s="73"/>
      <c r="E158" s="73"/>
      <c r="F158" s="73"/>
      <c r="G158" s="73"/>
      <c r="H158" s="73"/>
      <c r="I158" s="32">
        <f t="shared" si="0"/>
        <v>0</v>
      </c>
      <c r="J158" s="78">
        <f t="shared" si="1"/>
        <v>0</v>
      </c>
      <c r="K158" s="34"/>
      <c r="L158" s="34"/>
      <c r="M158" s="35"/>
    </row>
    <row r="159" spans="1:13">
      <c r="A159" s="117"/>
      <c r="B159" s="32"/>
      <c r="C159" s="32"/>
      <c r="D159" s="32"/>
      <c r="E159" s="32"/>
      <c r="F159" s="32"/>
      <c r="G159" s="32"/>
      <c r="H159" s="32"/>
      <c r="I159" s="32">
        <f t="shared" si="0"/>
        <v>0</v>
      </c>
      <c r="J159" s="78">
        <f t="shared" si="1"/>
        <v>0</v>
      </c>
      <c r="K159" s="34"/>
      <c r="L159" s="34"/>
      <c r="M159" s="35"/>
    </row>
    <row r="160" spans="1:13" ht="15" thickBot="1">
      <c r="A160" s="117"/>
      <c r="B160" s="39"/>
      <c r="C160" s="39"/>
      <c r="D160" s="39"/>
      <c r="E160" s="39"/>
      <c r="F160" s="39"/>
      <c r="G160" s="39"/>
      <c r="H160" s="39"/>
      <c r="I160" s="32">
        <f t="shared" si="0"/>
        <v>0</v>
      </c>
      <c r="J160" s="78">
        <f t="shared" si="1"/>
        <v>0</v>
      </c>
      <c r="K160" s="34"/>
      <c r="L160" s="34"/>
      <c r="M160" s="35"/>
    </row>
    <row r="161" spans="1:13" ht="15.6" thickTop="1" thickBot="1">
      <c r="A161" s="118"/>
      <c r="B161" s="115" t="s">
        <v>103</v>
      </c>
      <c r="C161" s="94"/>
      <c r="D161" s="119"/>
      <c r="E161" s="119"/>
      <c r="F161" s="119"/>
      <c r="G161" s="119"/>
      <c r="H161" s="119"/>
      <c r="I161" s="116">
        <f t="shared" si="0"/>
        <v>0</v>
      </c>
      <c r="J161" s="78">
        <f t="shared" si="1"/>
        <v>0</v>
      </c>
      <c r="K161" s="34"/>
      <c r="L161" s="34"/>
      <c r="M161" s="35"/>
    </row>
    <row r="162" spans="1:13" ht="15" thickTop="1">
      <c r="A162" s="117"/>
      <c r="B162" s="120"/>
      <c r="C162" s="121"/>
      <c r="I162" s="32"/>
      <c r="J162" s="122"/>
      <c r="K162" s="34"/>
      <c r="L162" s="34"/>
      <c r="M162" s="35"/>
    </row>
    <row r="163" spans="1:13" ht="15" thickBot="1">
      <c r="A163" s="117"/>
      <c r="B163" s="120"/>
      <c r="C163" s="121"/>
      <c r="I163" s="39"/>
      <c r="J163" s="122"/>
      <c r="K163" s="81"/>
      <c r="L163" s="81"/>
      <c r="M163" s="82"/>
    </row>
    <row r="164" spans="1:13" ht="15.6" thickTop="1" thickBot="1">
      <c r="A164" s="123"/>
      <c r="B164" s="110" t="s">
        <v>103</v>
      </c>
      <c r="C164" s="47"/>
      <c r="D164" s="47"/>
      <c r="E164" s="47"/>
      <c r="F164" s="47"/>
      <c r="G164" s="47"/>
      <c r="H164" s="47"/>
      <c r="I164" s="47">
        <f t="shared" ref="I164" si="2">+D164+E164+F164+G164+H164</f>
        <v>0</v>
      </c>
      <c r="J164" s="124"/>
      <c r="K164" s="96"/>
      <c r="L164" s="96"/>
      <c r="M164" s="97"/>
    </row>
    <row r="165" spans="1:13" ht="45" thickTop="1" thickBot="1">
      <c r="A165" s="125" t="s">
        <v>220</v>
      </c>
      <c r="B165" s="126"/>
      <c r="C165" s="47"/>
      <c r="D165" s="47"/>
      <c r="E165" s="47"/>
      <c r="F165" s="47"/>
      <c r="G165" s="47"/>
      <c r="H165" s="47"/>
      <c r="I165" s="47">
        <f t="shared" si="0"/>
        <v>0</v>
      </c>
      <c r="J165" s="127">
        <f>+C165-I165</f>
        <v>0</v>
      </c>
      <c r="K165" s="96"/>
      <c r="L165" s="96"/>
      <c r="M165" s="97"/>
    </row>
    <row r="166" spans="1:13" ht="15.6" thickTop="1" thickBot="1">
      <c r="A166" s="128"/>
      <c r="B166" s="121"/>
      <c r="C166" s="121"/>
      <c r="D166" s="121"/>
      <c r="E166" s="121"/>
      <c r="F166" s="121"/>
      <c r="G166" s="121"/>
      <c r="H166" s="121"/>
      <c r="I166" s="121"/>
      <c r="J166" s="129"/>
      <c r="K166" s="130"/>
      <c r="L166" s="130"/>
      <c r="M166" s="130"/>
    </row>
    <row r="167" spans="1:13" ht="19.2" thickTop="1" thickBot="1">
      <c r="A167" s="131" t="s">
        <v>221</v>
      </c>
      <c r="B167" s="132"/>
      <c r="C167" s="133"/>
      <c r="D167" s="133"/>
      <c r="E167" s="133"/>
      <c r="F167" s="133"/>
      <c r="G167" s="133"/>
      <c r="H167" s="133"/>
      <c r="I167" s="133" t="s">
        <v>222</v>
      </c>
      <c r="J167" s="134"/>
      <c r="K167" s="135"/>
      <c r="L167" s="135"/>
      <c r="M167" s="136"/>
    </row>
    <row r="168" spans="1:13" ht="18.600000000000001" thickTop="1">
      <c r="A168" s="7"/>
      <c r="M168" s="75"/>
    </row>
    <row r="169" spans="1:13" ht="42">
      <c r="A169" s="137" t="s">
        <v>223</v>
      </c>
      <c r="B169" s="138" t="s">
        <v>224</v>
      </c>
      <c r="C169" s="138"/>
      <c r="D169" s="138"/>
      <c r="E169" s="138"/>
      <c r="F169" s="138"/>
      <c r="G169" s="138"/>
      <c r="H169" s="138"/>
      <c r="I169" s="138"/>
      <c r="J169" s="138"/>
      <c r="K169" s="138"/>
      <c r="L169" s="139" t="s">
        <v>225</v>
      </c>
      <c r="M169" s="34"/>
    </row>
    <row r="170" spans="1:13">
      <c r="A170" t="s">
        <v>226</v>
      </c>
      <c r="B170" s="140" t="s">
        <v>227</v>
      </c>
      <c r="C170" s="140"/>
      <c r="D170" s="140"/>
      <c r="E170" s="140"/>
      <c r="F170" s="140"/>
      <c r="G170" s="140"/>
      <c r="H170" s="140"/>
      <c r="I170" s="140"/>
      <c r="J170" s="137"/>
      <c r="K170" s="137"/>
      <c r="L170" t="s">
        <v>228</v>
      </c>
      <c r="M170" s="34"/>
    </row>
    <row r="171" spans="1:13">
      <c r="A171" t="s">
        <v>98</v>
      </c>
      <c r="B171" s="141" t="s">
        <v>229</v>
      </c>
      <c r="C171" s="141"/>
      <c r="D171" s="141"/>
      <c r="E171" s="141"/>
      <c r="F171" s="141"/>
      <c r="G171" s="141"/>
      <c r="H171" s="141"/>
      <c r="L171" t="s">
        <v>230</v>
      </c>
    </row>
    <row r="172" spans="1:13">
      <c r="A172" t="s">
        <v>231</v>
      </c>
      <c r="B172" s="142" t="s">
        <v>232</v>
      </c>
      <c r="L172" t="s">
        <v>233</v>
      </c>
    </row>
    <row r="173" spans="1:13">
      <c r="A173" t="s">
        <v>234</v>
      </c>
      <c r="B173" s="143" t="s">
        <v>235</v>
      </c>
      <c r="F173" t="s">
        <v>236</v>
      </c>
      <c r="L173" t="s">
        <v>237</v>
      </c>
    </row>
    <row r="174" spans="1:13">
      <c r="A174" t="s">
        <v>101</v>
      </c>
      <c r="B174" s="144" t="s">
        <v>238</v>
      </c>
      <c r="C174" s="144"/>
      <c r="L174" t="s">
        <v>239</v>
      </c>
    </row>
    <row r="175" spans="1:13">
      <c r="A175" t="s">
        <v>240</v>
      </c>
      <c r="B175" s="145" t="s">
        <v>241</v>
      </c>
      <c r="L175" t="s">
        <v>242</v>
      </c>
    </row>
    <row r="176" spans="1:13">
      <c r="B176" s="146"/>
    </row>
    <row r="177" spans="1:4">
      <c r="A177" s="137" t="s">
        <v>243</v>
      </c>
      <c r="B177" s="146"/>
    </row>
    <row r="178" spans="1:4">
      <c r="B178" s="146" t="s">
        <v>244</v>
      </c>
      <c r="D178" t="s">
        <v>245</v>
      </c>
    </row>
    <row r="179" spans="1:4">
      <c r="A179" t="s">
        <v>110</v>
      </c>
      <c r="B179" s="146" t="s">
        <v>246</v>
      </c>
    </row>
    <row r="180" spans="1:4">
      <c r="A180" t="s">
        <v>247</v>
      </c>
      <c r="B180" s="146" t="s">
        <v>248</v>
      </c>
    </row>
    <row r="181" spans="1:4">
      <c r="A181" t="s">
        <v>249</v>
      </c>
      <c r="B181" s="146" t="s">
        <v>250</v>
      </c>
    </row>
    <row r="182" spans="1:4">
      <c r="A182" t="s">
        <v>141</v>
      </c>
      <c r="B182" s="146" t="s">
        <v>251</v>
      </c>
    </row>
    <row r="183" spans="1:4">
      <c r="A183" t="s">
        <v>146</v>
      </c>
      <c r="B183" s="146" t="s">
        <v>252</v>
      </c>
    </row>
    <row r="184" spans="1:4">
      <c r="A184" t="s">
        <v>155</v>
      </c>
      <c r="B184" s="146" t="s">
        <v>253</v>
      </c>
    </row>
    <row r="185" spans="1:4">
      <c r="A185" t="s">
        <v>254</v>
      </c>
      <c r="B185" s="146" t="s">
        <v>255</v>
      </c>
    </row>
    <row r="186" spans="1:4">
      <c r="A186" t="s">
        <v>256</v>
      </c>
      <c r="B186" s="146" t="s">
        <v>257</v>
      </c>
    </row>
    <row r="187" spans="1:4">
      <c r="A187" t="s">
        <v>174</v>
      </c>
      <c r="B187" s="146" t="s">
        <v>258</v>
      </c>
    </row>
    <row r="188" spans="1:4">
      <c r="A188" t="s">
        <v>259</v>
      </c>
      <c r="B188" s="146" t="s">
        <v>260</v>
      </c>
    </row>
    <row r="189" spans="1:4">
      <c r="A189" t="s">
        <v>261</v>
      </c>
      <c r="B189" s="146" t="s">
        <v>262</v>
      </c>
    </row>
    <row r="190" spans="1:4">
      <c r="A190" t="s">
        <v>263</v>
      </c>
      <c r="B190" s="146" t="s">
        <v>264</v>
      </c>
    </row>
    <row r="191" spans="1:4">
      <c r="A191" t="s">
        <v>208</v>
      </c>
      <c r="B191" s="146" t="s">
        <v>265</v>
      </c>
    </row>
    <row r="192" spans="1:4">
      <c r="A192" t="s">
        <v>202</v>
      </c>
      <c r="B192" s="146" t="s">
        <v>266</v>
      </c>
    </row>
    <row r="193" spans="1:10">
      <c r="A193" t="s">
        <v>216</v>
      </c>
      <c r="B193" s="146" t="s">
        <v>267</v>
      </c>
    </row>
    <row r="194" spans="1:10">
      <c r="A194" t="s">
        <v>102</v>
      </c>
      <c r="B194" s="146" t="s">
        <v>268</v>
      </c>
    </row>
    <row r="195" spans="1:10">
      <c r="A195" t="s">
        <v>269</v>
      </c>
      <c r="B195" s="146" t="s">
        <v>268</v>
      </c>
    </row>
    <row r="196" spans="1:10">
      <c r="B196" s="146"/>
    </row>
    <row r="197" spans="1:10">
      <c r="A197" s="147" t="s">
        <v>270</v>
      </c>
      <c r="B197" s="148"/>
      <c r="C197" s="147"/>
      <c r="D197" s="147"/>
    </row>
    <row r="199" spans="1:10">
      <c r="B199" s="146"/>
    </row>
    <row r="200" spans="1:10" ht="21">
      <c r="A200" s="149" t="s">
        <v>271</v>
      </c>
      <c r="B200" s="150"/>
      <c r="C200" s="150"/>
      <c r="D200" s="150"/>
      <c r="E200" s="150"/>
      <c r="F200" s="150"/>
      <c r="G200" s="150"/>
      <c r="H200" s="150"/>
    </row>
    <row r="201" spans="1:10" ht="62.4">
      <c r="A201" s="151" t="s">
        <v>272</v>
      </c>
      <c r="B201" s="151" t="s">
        <v>273</v>
      </c>
      <c r="C201" s="152" t="s">
        <v>274</v>
      </c>
      <c r="D201" s="153" t="s">
        <v>275</v>
      </c>
      <c r="E201" s="152" t="s">
        <v>276</v>
      </c>
      <c r="F201" s="152" t="s">
        <v>277</v>
      </c>
      <c r="G201" s="153" t="s">
        <v>278</v>
      </c>
      <c r="H201" s="152" t="s">
        <v>279</v>
      </c>
      <c r="J201" s="154" t="s">
        <v>280</v>
      </c>
    </row>
    <row r="202" spans="1:10" ht="31.2">
      <c r="A202" s="152" t="s">
        <v>281</v>
      </c>
      <c r="B202" s="155" t="s">
        <v>282</v>
      </c>
      <c r="C202" s="34"/>
      <c r="D202" s="34" t="s">
        <v>283</v>
      </c>
      <c r="E202" s="34"/>
      <c r="F202" s="34"/>
      <c r="G202" s="34"/>
      <c r="H202" s="34"/>
    </row>
    <row r="203" spans="1:10">
      <c r="A203" s="34"/>
      <c r="B203" s="34"/>
      <c r="C203" s="34"/>
      <c r="D203" s="34"/>
      <c r="E203" s="34"/>
      <c r="F203" s="34"/>
      <c r="G203" s="34"/>
      <c r="H203" s="34"/>
    </row>
    <row r="204" spans="1:10" ht="31.2">
      <c r="A204" s="156" t="s">
        <v>284</v>
      </c>
      <c r="B204" s="157"/>
      <c r="C204" s="34"/>
      <c r="D204" s="34" t="s">
        <v>285</v>
      </c>
      <c r="E204" s="34"/>
      <c r="F204" s="34"/>
      <c r="G204" s="34"/>
      <c r="H204" s="34"/>
    </row>
    <row r="205" spans="1:10">
      <c r="A205" s="34"/>
      <c r="B205" s="34"/>
      <c r="C205" s="34"/>
      <c r="D205" s="34"/>
      <c r="E205" s="34"/>
      <c r="F205" s="34"/>
      <c r="G205" s="34"/>
      <c r="H205" s="34"/>
    </row>
    <row r="206" spans="1:10" ht="31.2">
      <c r="A206" s="156" t="s">
        <v>286</v>
      </c>
      <c r="B206" s="34"/>
      <c r="C206" s="34"/>
      <c r="D206" s="34" t="s">
        <v>287</v>
      </c>
      <c r="E206" s="34"/>
      <c r="F206" s="34"/>
      <c r="G206" s="34"/>
      <c r="H206" s="34"/>
    </row>
    <row r="207" spans="1:10" ht="15.6">
      <c r="A207" s="34"/>
      <c r="B207" s="157"/>
      <c r="C207" s="34"/>
      <c r="D207" s="34"/>
      <c r="E207" s="34"/>
      <c r="F207" s="34"/>
      <c r="G207" s="34"/>
      <c r="H207" s="34"/>
    </row>
    <row r="208" spans="1:10" ht="31.2">
      <c r="A208" s="156" t="s">
        <v>288</v>
      </c>
      <c r="B208" s="34" t="s">
        <v>289</v>
      </c>
      <c r="C208" s="34"/>
      <c r="D208" s="34" t="s">
        <v>290</v>
      </c>
      <c r="E208" s="34"/>
      <c r="F208" s="34"/>
      <c r="G208" s="34"/>
      <c r="H208" s="34"/>
    </row>
    <row r="209" spans="1:8">
      <c r="A209" s="34"/>
      <c r="B209" s="34"/>
      <c r="C209" s="34"/>
      <c r="D209" s="34"/>
      <c r="E209" s="34"/>
      <c r="F209" s="34"/>
      <c r="G209" s="34"/>
      <c r="H209" s="34"/>
    </row>
    <row r="210" spans="1:8" ht="31.2">
      <c r="A210" s="156" t="s">
        <v>291</v>
      </c>
      <c r="B210" s="34" t="s">
        <v>292</v>
      </c>
      <c r="C210" s="34"/>
      <c r="D210" s="34" t="s">
        <v>293</v>
      </c>
      <c r="E210" s="34"/>
      <c r="F210" s="34"/>
      <c r="G210" s="34"/>
      <c r="H210" s="34"/>
    </row>
  </sheetData>
  <mergeCells count="45">
    <mergeCell ref="B174:C174"/>
    <mergeCell ref="A200:H200"/>
    <mergeCell ref="A138:A145"/>
    <mergeCell ref="A146:A152"/>
    <mergeCell ref="A153:A157"/>
    <mergeCell ref="B169:K169"/>
    <mergeCell ref="B170:I170"/>
    <mergeCell ref="B171:H171"/>
    <mergeCell ref="A81:A86"/>
    <mergeCell ref="A88:A95"/>
    <mergeCell ref="A97:A103"/>
    <mergeCell ref="A105:A113"/>
    <mergeCell ref="A115:A124"/>
    <mergeCell ref="A126:A136"/>
    <mergeCell ref="A20:A30"/>
    <mergeCell ref="A32:A37"/>
    <mergeCell ref="A39:A51"/>
    <mergeCell ref="A53:A59"/>
    <mergeCell ref="A61:A69"/>
    <mergeCell ref="A71:A79"/>
    <mergeCell ref="C17:C19"/>
    <mergeCell ref="D17:I17"/>
    <mergeCell ref="J17:J19"/>
    <mergeCell ref="K17:M18"/>
    <mergeCell ref="D18:D19"/>
    <mergeCell ref="E18:E19"/>
    <mergeCell ref="F18:F19"/>
    <mergeCell ref="G18:G19"/>
    <mergeCell ref="H18:H19"/>
    <mergeCell ref="I18:I19"/>
    <mergeCell ref="A11:B11"/>
    <mergeCell ref="A12:B12"/>
    <mergeCell ref="A13:B13"/>
    <mergeCell ref="A15:B15"/>
    <mergeCell ref="A16:B16"/>
    <mergeCell ref="A17:B18"/>
    <mergeCell ref="A8:J8"/>
    <mergeCell ref="K8:M8"/>
    <mergeCell ref="A9:B10"/>
    <mergeCell ref="C9:C10"/>
    <mergeCell ref="D9:I9"/>
    <mergeCell ref="J9:J10"/>
    <mergeCell ref="K9:K10"/>
    <mergeCell ref="L9:L10"/>
    <mergeCell ref="M9:M10"/>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E3C6-D492-4D91-BA98-9B8B60A48CE2}">
  <dimension ref="A1:I27"/>
  <sheetViews>
    <sheetView workbookViewId="0">
      <selection activeCell="H17" sqref="H17"/>
    </sheetView>
  </sheetViews>
  <sheetFormatPr defaultColWidth="16.88671875" defaultRowHeight="14.4"/>
  <cols>
    <col min="1" max="1" width="44.77734375" customWidth="1"/>
    <col min="2" max="2" width="13.88671875" customWidth="1"/>
    <col min="3" max="3" width="14.109375" customWidth="1"/>
    <col min="4" max="4" width="13.88671875" customWidth="1"/>
    <col min="5" max="5" width="13.5546875" customWidth="1"/>
    <col min="6" max="7" width="8.88671875" customWidth="1"/>
    <col min="8" max="8" width="13.88671875" customWidth="1"/>
    <col min="9" max="19" width="8.88671875" customWidth="1"/>
    <col min="20" max="26" width="8.33203125" customWidth="1"/>
  </cols>
  <sheetData>
    <row r="1" spans="1:9" ht="18.75" customHeight="1">
      <c r="A1" s="7" t="s">
        <v>294</v>
      </c>
    </row>
    <row r="2" spans="1:9" ht="18.75" customHeight="1">
      <c r="A2" s="7" t="s">
        <v>295</v>
      </c>
    </row>
    <row r="3" spans="1:9" ht="15.75" customHeight="1" thickBot="1"/>
    <row r="4" spans="1:9" ht="20.25" customHeight="1" thickTop="1" thickBot="1">
      <c r="A4" s="158" t="s">
        <v>296</v>
      </c>
      <c r="B4" s="159"/>
      <c r="C4" s="159"/>
      <c r="D4" s="159"/>
      <c r="E4" s="160"/>
    </row>
    <row r="5" spans="1:9" ht="48" customHeight="1" thickTop="1">
      <c r="A5" s="161" t="s">
        <v>297</v>
      </c>
      <c r="B5" s="162" t="s">
        <v>298</v>
      </c>
      <c r="C5" s="163" t="s">
        <v>299</v>
      </c>
      <c r="D5" s="164" t="s">
        <v>300</v>
      </c>
      <c r="E5" s="165" t="s">
        <v>301</v>
      </c>
    </row>
    <row r="6" spans="1:9">
      <c r="A6" s="166" t="s">
        <v>302</v>
      </c>
      <c r="B6" s="167"/>
      <c r="C6" s="167"/>
      <c r="D6" s="73"/>
      <c r="E6" s="168"/>
      <c r="H6" t="s">
        <v>303</v>
      </c>
      <c r="I6" t="s">
        <v>304</v>
      </c>
    </row>
    <row r="7" spans="1:9">
      <c r="A7" s="166" t="s">
        <v>305</v>
      </c>
      <c r="B7" s="32">
        <v>543255</v>
      </c>
      <c r="C7" s="169">
        <v>0.12</v>
      </c>
      <c r="D7" s="170">
        <f>+E7/12</f>
        <v>5432.55</v>
      </c>
      <c r="E7" s="171">
        <f>+B7*C7</f>
        <v>65190.6</v>
      </c>
      <c r="H7" t="s">
        <v>306</v>
      </c>
      <c r="I7" t="s">
        <v>304</v>
      </c>
    </row>
    <row r="8" spans="1:9">
      <c r="A8" s="166" t="s">
        <v>307</v>
      </c>
      <c r="B8" s="32">
        <v>1952355</v>
      </c>
      <c r="C8" s="172">
        <v>0.14000000000000001</v>
      </c>
      <c r="D8" s="170">
        <f>+E8/12</f>
        <v>22777.475000000002</v>
      </c>
      <c r="E8" s="171">
        <f>+B8*C8</f>
        <v>273329.7</v>
      </c>
      <c r="H8" t="s">
        <v>305</v>
      </c>
      <c r="I8" t="s">
        <v>304</v>
      </c>
    </row>
    <row r="9" spans="1:9">
      <c r="A9" s="166" t="s">
        <v>308</v>
      </c>
      <c r="B9" s="32"/>
      <c r="C9" s="32"/>
      <c r="D9" s="32"/>
      <c r="E9" s="173"/>
      <c r="H9" t="s">
        <v>309</v>
      </c>
      <c r="I9" t="s">
        <v>310</v>
      </c>
    </row>
    <row r="10" spans="1:9">
      <c r="A10" s="166" t="s">
        <v>311</v>
      </c>
      <c r="B10" s="32"/>
      <c r="C10" s="32"/>
      <c r="D10" s="32"/>
      <c r="E10" s="173"/>
      <c r="H10" t="s">
        <v>312</v>
      </c>
    </row>
    <row r="11" spans="1:9">
      <c r="A11" s="174" t="s">
        <v>313</v>
      </c>
      <c r="B11" s="32"/>
      <c r="C11" s="32"/>
      <c r="D11" s="32"/>
      <c r="E11" s="173"/>
      <c r="H11" t="s">
        <v>314</v>
      </c>
      <c r="I11" t="s">
        <v>315</v>
      </c>
    </row>
    <row r="12" spans="1:9">
      <c r="A12" s="166" t="s">
        <v>316</v>
      </c>
      <c r="B12" s="32"/>
      <c r="C12" s="32"/>
      <c r="D12" s="32"/>
      <c r="E12" s="173"/>
      <c r="H12" t="s">
        <v>317</v>
      </c>
      <c r="I12" t="s">
        <v>318</v>
      </c>
    </row>
    <row r="13" spans="1:9">
      <c r="A13" s="166" t="s">
        <v>319</v>
      </c>
      <c r="B13" s="32"/>
      <c r="C13" s="32"/>
      <c r="D13" s="32"/>
      <c r="E13" s="173"/>
      <c r="H13" s="175" t="s">
        <v>320</v>
      </c>
      <c r="I13" s="175" t="s">
        <v>321</v>
      </c>
    </row>
    <row r="14" spans="1:9">
      <c r="A14" s="166" t="s">
        <v>322</v>
      </c>
      <c r="B14" s="32">
        <v>380000</v>
      </c>
      <c r="C14" s="172">
        <v>9.7500000000000003E-2</v>
      </c>
      <c r="D14" s="170">
        <f>+E14/12</f>
        <v>3087.5</v>
      </c>
      <c r="E14" s="171">
        <f>+B14*C14</f>
        <v>37050</v>
      </c>
    </row>
    <row r="15" spans="1:9">
      <c r="A15" s="128" t="s">
        <v>306</v>
      </c>
      <c r="B15" s="32"/>
      <c r="C15" s="32"/>
      <c r="D15" s="32"/>
      <c r="E15" s="173"/>
    </row>
    <row r="16" spans="1:9">
      <c r="A16" s="166" t="s">
        <v>323</v>
      </c>
      <c r="B16" s="32"/>
      <c r="C16" s="32"/>
      <c r="D16" s="32"/>
      <c r="E16" s="173"/>
    </row>
    <row r="17" spans="1:5" ht="15.75" customHeight="1" thickBot="1">
      <c r="A17" s="176" t="s">
        <v>103</v>
      </c>
      <c r="B17" s="177">
        <f>SUM(B7:B16)</f>
        <v>2875610</v>
      </c>
      <c r="C17" s="177" t="s">
        <v>324</v>
      </c>
      <c r="D17" s="178">
        <f>SUM(D7:D16)</f>
        <v>31297.525000000001</v>
      </c>
      <c r="E17" s="179">
        <f>SUM(E7:E16)</f>
        <v>375570.3</v>
      </c>
    </row>
    <row r="18" spans="1:5" ht="16.5" customHeight="1" thickTop="1" thickBot="1"/>
    <row r="19" spans="1:5" ht="19.5" customHeight="1" thickTop="1">
      <c r="A19" s="180" t="s">
        <v>325</v>
      </c>
      <c r="B19" s="181"/>
      <c r="C19" s="182"/>
    </row>
    <row r="20" spans="1:5" ht="18.75" customHeight="1">
      <c r="A20" s="183"/>
      <c r="B20" s="184" t="s">
        <v>326</v>
      </c>
      <c r="C20" s="185"/>
    </row>
    <row r="21" spans="1:5" ht="30" customHeight="1">
      <c r="A21" s="186" t="s">
        <v>327</v>
      </c>
      <c r="B21" s="187">
        <f>+E17/B17*100</f>
        <v>13.060543675950493</v>
      </c>
      <c r="C21" s="168"/>
    </row>
    <row r="22" spans="1:5">
      <c r="A22" s="166" t="s">
        <v>328</v>
      </c>
      <c r="B22" s="32" t="s">
        <v>329</v>
      </c>
      <c r="C22" s="173"/>
      <c r="D22" t="s">
        <v>330</v>
      </c>
    </row>
    <row r="23" spans="1:5">
      <c r="A23" s="166" t="s">
        <v>331</v>
      </c>
      <c r="B23" s="32" t="s">
        <v>332</v>
      </c>
      <c r="C23" s="173"/>
      <c r="D23" t="s">
        <v>333</v>
      </c>
    </row>
    <row r="24" spans="1:5" ht="46.5" customHeight="1">
      <c r="A24" s="166" t="s">
        <v>334</v>
      </c>
      <c r="B24" s="188" t="s">
        <v>335</v>
      </c>
      <c r="C24" s="173"/>
      <c r="D24" t="s">
        <v>336</v>
      </c>
    </row>
    <row r="25" spans="1:5" ht="30" customHeight="1">
      <c r="A25" s="166" t="s">
        <v>337</v>
      </c>
      <c r="B25" s="189" t="s">
        <v>338</v>
      </c>
      <c r="C25" s="173"/>
      <c r="D25" t="s">
        <v>339</v>
      </c>
    </row>
    <row r="26" spans="1:5" ht="15.75" customHeight="1" thickBot="1">
      <c r="A26" s="190"/>
      <c r="B26" s="191"/>
      <c r="C26" s="192"/>
    </row>
    <row r="27" spans="1:5" ht="15.75" customHeight="1" thickTop="1"/>
  </sheetData>
  <mergeCells count="2">
    <mergeCell ref="A4:E4"/>
    <mergeCell ref="A19:C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9929-FCF9-44FD-938C-774BDF8EC6E9}">
  <dimension ref="A2:H219"/>
  <sheetViews>
    <sheetView workbookViewId="0">
      <selection activeCell="F6" sqref="F6"/>
    </sheetView>
  </sheetViews>
  <sheetFormatPr defaultColWidth="8.77734375" defaultRowHeight="14.4"/>
  <cols>
    <col min="1" max="1" width="18.44140625" customWidth="1"/>
    <col min="2" max="2" width="30.44140625" bestFit="1" customWidth="1"/>
    <col min="3" max="3" width="16.44140625" bestFit="1" customWidth="1"/>
    <col min="4" max="8" width="14.6640625" customWidth="1"/>
    <col min="9" max="9" width="10.6640625" bestFit="1" customWidth="1"/>
  </cols>
  <sheetData>
    <row r="2" spans="1:8" ht="13.95" customHeight="1">
      <c r="A2" s="193" t="s">
        <v>340</v>
      </c>
      <c r="B2" s="193"/>
      <c r="C2" s="193"/>
      <c r="D2" s="193"/>
      <c r="E2" s="193"/>
      <c r="F2" s="194"/>
      <c r="G2" s="194"/>
      <c r="H2" s="194"/>
    </row>
    <row r="3" spans="1:8" ht="13.95" customHeight="1">
      <c r="A3" s="195"/>
      <c r="B3" s="195"/>
      <c r="C3" s="195"/>
      <c r="D3" s="195"/>
      <c r="E3" s="195"/>
      <c r="F3" s="196"/>
      <c r="G3" s="196"/>
      <c r="H3" s="196"/>
    </row>
    <row r="5" spans="1:8" ht="21.6" thickBot="1">
      <c r="A5" s="197" t="s">
        <v>341</v>
      </c>
      <c r="B5" s="198"/>
      <c r="C5" s="198"/>
      <c r="D5" s="198"/>
      <c r="E5" s="198"/>
    </row>
    <row r="6" spans="1:8" ht="18.600000000000001" thickTop="1">
      <c r="A6" s="199" t="s">
        <v>342</v>
      </c>
      <c r="B6" s="199"/>
      <c r="C6" s="200" t="s">
        <v>343</v>
      </c>
      <c r="D6" s="201" t="s">
        <v>344</v>
      </c>
      <c r="E6" s="202" t="s">
        <v>345</v>
      </c>
    </row>
    <row r="7" spans="1:8" ht="25.5" customHeight="1">
      <c r="A7" s="203" t="s">
        <v>346</v>
      </c>
      <c r="B7" s="204" t="s">
        <v>109</v>
      </c>
      <c r="C7" s="205"/>
      <c r="D7" s="206"/>
      <c r="E7" s="207"/>
    </row>
    <row r="8" spans="1:8">
      <c r="A8" s="208" t="s">
        <v>347</v>
      </c>
      <c r="B8" s="209" t="s">
        <v>348</v>
      </c>
      <c r="C8" s="32"/>
      <c r="D8" s="32"/>
      <c r="E8" s="173"/>
    </row>
    <row r="9" spans="1:8">
      <c r="A9" s="210"/>
      <c r="B9" s="209" t="s">
        <v>349</v>
      </c>
      <c r="C9" s="32"/>
      <c r="D9" s="32"/>
      <c r="E9" s="173"/>
    </row>
    <row r="10" spans="1:8">
      <c r="A10" s="210"/>
      <c r="B10" s="209" t="s">
        <v>350</v>
      </c>
      <c r="C10" s="32"/>
      <c r="D10" s="32"/>
      <c r="E10" s="173"/>
      <c r="H10" s="211"/>
    </row>
    <row r="11" spans="1:8">
      <c r="A11" s="210"/>
      <c r="B11" s="209" t="s">
        <v>351</v>
      </c>
      <c r="C11" s="32"/>
      <c r="D11" s="32"/>
      <c r="E11" s="173"/>
    </row>
    <row r="12" spans="1:8">
      <c r="A12" s="210"/>
      <c r="B12" s="209" t="s">
        <v>352</v>
      </c>
      <c r="C12" s="32"/>
      <c r="D12" s="32"/>
      <c r="E12" s="173"/>
    </row>
    <row r="13" spans="1:8">
      <c r="A13" s="210"/>
      <c r="B13" s="209" t="s">
        <v>353</v>
      </c>
      <c r="C13" s="32"/>
      <c r="D13" s="32"/>
      <c r="E13" s="173"/>
    </row>
    <row r="14" spans="1:8">
      <c r="A14" s="210"/>
      <c r="B14" s="212" t="s">
        <v>354</v>
      </c>
      <c r="C14" s="32"/>
      <c r="D14" s="32"/>
      <c r="E14" s="173"/>
    </row>
    <row r="15" spans="1:8">
      <c r="A15" s="210"/>
      <c r="B15" s="212" t="s">
        <v>355</v>
      </c>
      <c r="C15" s="32"/>
      <c r="D15" s="32"/>
      <c r="E15" s="173"/>
    </row>
    <row r="16" spans="1:8" ht="15" thickBot="1">
      <c r="A16" s="210"/>
      <c r="B16" s="212"/>
      <c r="C16" s="39"/>
      <c r="D16" s="39"/>
      <c r="E16" s="213"/>
    </row>
    <row r="17" spans="1:5" ht="16.8" thickTop="1" thickBot="1">
      <c r="A17" s="214"/>
      <c r="B17" s="215" t="s">
        <v>356</v>
      </c>
      <c r="C17" s="216"/>
      <c r="D17" s="216"/>
      <c r="E17" s="217"/>
    </row>
    <row r="18" spans="1:5" ht="15" thickTop="1">
      <c r="A18" s="218" t="s">
        <v>357</v>
      </c>
      <c r="B18" s="219" t="s">
        <v>358</v>
      </c>
      <c r="C18" s="73"/>
      <c r="D18" s="73"/>
      <c r="E18" s="168"/>
    </row>
    <row r="19" spans="1:5">
      <c r="A19" s="220"/>
      <c r="B19" s="209" t="s">
        <v>359</v>
      </c>
      <c r="C19" s="32"/>
      <c r="D19" s="32"/>
      <c r="E19" s="173"/>
    </row>
    <row r="20" spans="1:5">
      <c r="A20" s="220"/>
      <c r="B20" s="209" t="s">
        <v>360</v>
      </c>
      <c r="C20" s="32"/>
      <c r="D20" s="32"/>
      <c r="E20" s="173"/>
    </row>
    <row r="21" spans="1:5">
      <c r="A21" s="220"/>
      <c r="B21" s="209" t="s">
        <v>361</v>
      </c>
      <c r="C21" s="32"/>
      <c r="D21" s="32"/>
      <c r="E21" s="173"/>
    </row>
    <row r="22" spans="1:5">
      <c r="A22" s="220"/>
      <c r="B22" s="209" t="s">
        <v>102</v>
      </c>
      <c r="C22" s="32"/>
      <c r="D22" s="32"/>
      <c r="E22" s="173"/>
    </row>
    <row r="23" spans="1:5" ht="15" thickBot="1">
      <c r="A23" s="220"/>
      <c r="B23" s="209"/>
      <c r="C23" s="39"/>
      <c r="D23" s="39"/>
      <c r="E23" s="213"/>
    </row>
    <row r="24" spans="1:5" ht="16.8" thickTop="1" thickBot="1">
      <c r="A24" s="221"/>
      <c r="B24" s="222" t="s">
        <v>362</v>
      </c>
      <c r="C24" s="216"/>
      <c r="D24" s="216"/>
      <c r="E24" s="217"/>
    </row>
    <row r="25" spans="1:5" ht="15" thickTop="1">
      <c r="A25" s="210" t="s">
        <v>363</v>
      </c>
      <c r="B25" s="219"/>
      <c r="C25" s="73"/>
      <c r="D25" s="73"/>
      <c r="E25" s="168"/>
    </row>
    <row r="26" spans="1:5">
      <c r="A26" s="210"/>
      <c r="B26" s="209"/>
      <c r="C26" s="32"/>
      <c r="D26" s="32"/>
      <c r="E26" s="173"/>
    </row>
    <row r="27" spans="1:5">
      <c r="A27" s="210"/>
      <c r="B27" s="209"/>
      <c r="C27" s="32"/>
      <c r="D27" s="32"/>
      <c r="E27" s="173"/>
    </row>
    <row r="28" spans="1:5">
      <c r="A28" s="210"/>
      <c r="B28" s="209"/>
      <c r="C28" s="32"/>
      <c r="D28" s="32"/>
      <c r="E28" s="173"/>
    </row>
    <row r="29" spans="1:5">
      <c r="A29" s="210"/>
      <c r="B29" s="209"/>
      <c r="C29" s="32"/>
      <c r="D29" s="32"/>
      <c r="E29" s="173"/>
    </row>
    <row r="30" spans="1:5">
      <c r="A30" s="210"/>
      <c r="B30" s="209"/>
      <c r="C30" s="32"/>
      <c r="D30" s="32"/>
      <c r="E30" s="173"/>
    </row>
    <row r="31" spans="1:5">
      <c r="A31" s="210"/>
      <c r="B31" s="209"/>
      <c r="C31" s="32"/>
      <c r="D31" s="32"/>
      <c r="E31" s="173"/>
    </row>
    <row r="32" spans="1:5" ht="16.2" thickBot="1">
      <c r="A32" s="210"/>
      <c r="B32" s="223" t="s">
        <v>364</v>
      </c>
      <c r="C32" s="39"/>
      <c r="D32" s="39"/>
      <c r="E32" s="213"/>
    </row>
    <row r="33" spans="1:8" ht="18.600000000000001" thickTop="1" thickBot="1">
      <c r="A33" s="224" t="s">
        <v>365</v>
      </c>
      <c r="B33" s="224"/>
      <c r="C33" s="216"/>
      <c r="D33" s="216"/>
      <c r="E33" s="217"/>
    </row>
    <row r="34" spans="1:8" ht="25.5" customHeight="1" thickTop="1">
      <c r="A34" s="225" t="s">
        <v>366</v>
      </c>
    </row>
    <row r="35" spans="1:8">
      <c r="A35" t="s">
        <v>365</v>
      </c>
      <c r="B35" s="226" t="s">
        <v>367</v>
      </c>
      <c r="C35" s="226"/>
      <c r="D35" s="226"/>
      <c r="E35" s="226"/>
      <c r="F35" s="226"/>
      <c r="G35" s="226"/>
      <c r="H35" s="226"/>
    </row>
    <row r="36" spans="1:8">
      <c r="A36" t="s">
        <v>347</v>
      </c>
      <c r="B36" s="227"/>
      <c r="C36" s="227"/>
      <c r="D36" s="227"/>
      <c r="E36" s="227"/>
    </row>
    <row r="37" spans="1:8">
      <c r="A37" t="s">
        <v>357</v>
      </c>
      <c r="B37" s="228"/>
      <c r="C37" s="228"/>
      <c r="D37" s="228"/>
    </row>
    <row r="38" spans="1:8">
      <c r="A38" t="s">
        <v>363</v>
      </c>
      <c r="B38" s="229"/>
    </row>
    <row r="39" spans="1:8">
      <c r="B39" t="s">
        <v>368</v>
      </c>
    </row>
    <row r="43" spans="1:8" ht="21.6" thickBot="1">
      <c r="A43" s="197" t="s">
        <v>369</v>
      </c>
      <c r="B43" s="198"/>
      <c r="C43" s="198"/>
      <c r="D43" s="198"/>
      <c r="E43" s="198"/>
    </row>
    <row r="44" spans="1:8" ht="16.5" customHeight="1" thickTop="1">
      <c r="A44" s="199" t="s">
        <v>342</v>
      </c>
      <c r="B44" s="199"/>
      <c r="C44" s="200" t="s">
        <v>343</v>
      </c>
      <c r="D44" s="201" t="s">
        <v>344</v>
      </c>
      <c r="E44" s="202" t="s">
        <v>345</v>
      </c>
    </row>
    <row r="45" spans="1:8" ht="18">
      <c r="A45" s="230" t="s">
        <v>346</v>
      </c>
      <c r="B45" s="204" t="s">
        <v>109</v>
      </c>
      <c r="C45" s="231"/>
      <c r="D45" s="232"/>
      <c r="E45" s="233"/>
    </row>
    <row r="46" spans="1:8">
      <c r="A46" s="234" t="s">
        <v>370</v>
      </c>
      <c r="B46" s="235" t="s">
        <v>371</v>
      </c>
      <c r="C46" s="34"/>
      <c r="D46" s="34"/>
      <c r="E46" s="34"/>
    </row>
    <row r="47" spans="1:8">
      <c r="A47" s="236"/>
      <c r="B47" s="235" t="s">
        <v>372</v>
      </c>
      <c r="C47" s="34"/>
      <c r="D47" s="34"/>
      <c r="E47" s="34"/>
    </row>
    <row r="48" spans="1:8">
      <c r="A48" s="236"/>
      <c r="B48" s="235" t="s">
        <v>373</v>
      </c>
      <c r="C48" s="34"/>
      <c r="D48" s="34"/>
      <c r="E48" s="34"/>
    </row>
    <row r="49" spans="1:5">
      <c r="A49" s="236"/>
      <c r="B49" s="235" t="s">
        <v>374</v>
      </c>
      <c r="C49" s="34"/>
      <c r="D49" s="34"/>
      <c r="E49" s="34"/>
    </row>
    <row r="50" spans="1:5">
      <c r="A50" s="236"/>
      <c r="B50" s="237"/>
      <c r="C50" s="34"/>
      <c r="D50" s="34"/>
      <c r="E50" s="34"/>
    </row>
    <row r="51" spans="1:5">
      <c r="A51" s="236"/>
      <c r="B51" s="237"/>
      <c r="C51" s="34"/>
      <c r="D51" s="34"/>
      <c r="E51" s="34"/>
    </row>
    <row r="52" spans="1:5">
      <c r="A52" s="236"/>
      <c r="B52" s="237"/>
      <c r="C52" s="34"/>
      <c r="D52" s="34"/>
      <c r="E52" s="34"/>
    </row>
    <row r="53" spans="1:5" ht="15.6">
      <c r="A53" s="238"/>
      <c r="B53" s="239" t="s">
        <v>375</v>
      </c>
      <c r="C53" s="34"/>
      <c r="D53" s="34"/>
      <c r="E53" s="34"/>
    </row>
    <row r="54" spans="1:5">
      <c r="A54" s="234" t="s">
        <v>376</v>
      </c>
      <c r="B54" s="34"/>
      <c r="C54" s="34"/>
      <c r="D54" s="34"/>
      <c r="E54" s="34"/>
    </row>
    <row r="55" spans="1:5">
      <c r="A55" s="236"/>
      <c r="B55" s="34"/>
      <c r="C55" s="34"/>
      <c r="D55" s="34"/>
      <c r="E55" s="34"/>
    </row>
    <row r="56" spans="1:5">
      <c r="A56" s="236"/>
      <c r="B56" s="34"/>
      <c r="C56" s="34"/>
      <c r="D56" s="34"/>
      <c r="E56" s="34"/>
    </row>
    <row r="57" spans="1:5">
      <c r="A57" s="236"/>
      <c r="B57" s="34"/>
      <c r="C57" s="34"/>
      <c r="D57" s="34"/>
      <c r="E57" s="34"/>
    </row>
    <row r="58" spans="1:5" ht="15.6">
      <c r="A58" s="238"/>
      <c r="B58" s="239" t="s">
        <v>377</v>
      </c>
      <c r="C58" s="34"/>
      <c r="D58" s="34"/>
      <c r="E58" s="34"/>
    </row>
    <row r="59" spans="1:5">
      <c r="A59" s="240" t="s">
        <v>378</v>
      </c>
      <c r="B59" s="237" t="s">
        <v>379</v>
      </c>
      <c r="C59" s="34"/>
      <c r="D59" s="34"/>
      <c r="E59" s="34"/>
    </row>
    <row r="60" spans="1:5">
      <c r="A60" s="241"/>
      <c r="B60" s="237" t="s">
        <v>380</v>
      </c>
      <c r="C60" s="34"/>
      <c r="D60" s="34"/>
      <c r="E60" s="34"/>
    </row>
    <row r="61" spans="1:5">
      <c r="A61" s="241"/>
      <c r="B61" s="237"/>
      <c r="C61" s="34"/>
      <c r="D61" s="34"/>
      <c r="E61" s="34"/>
    </row>
    <row r="62" spans="1:5">
      <c r="A62" s="241"/>
      <c r="B62" s="237"/>
      <c r="C62" s="34"/>
      <c r="D62" s="34"/>
      <c r="E62" s="34"/>
    </row>
    <row r="63" spans="1:5" ht="18">
      <c r="A63" s="242"/>
      <c r="B63" s="243" t="s">
        <v>381</v>
      </c>
      <c r="C63" s="34"/>
      <c r="D63" s="34"/>
      <c r="E63" s="34"/>
    </row>
    <row r="64" spans="1:5" ht="18">
      <c r="A64" s="244" t="s">
        <v>382</v>
      </c>
      <c r="B64" s="244"/>
      <c r="C64" s="34"/>
      <c r="D64" s="34"/>
      <c r="E64" s="34"/>
    </row>
    <row r="65" spans="1:8">
      <c r="A65" s="225" t="s">
        <v>366</v>
      </c>
    </row>
    <row r="66" spans="1:8" ht="15.75" customHeight="1">
      <c r="A66" t="s">
        <v>383</v>
      </c>
      <c r="B66" s="226" t="s">
        <v>367</v>
      </c>
      <c r="C66" s="226"/>
      <c r="D66" s="226"/>
      <c r="E66" s="226"/>
      <c r="F66" s="226"/>
      <c r="G66" s="226"/>
      <c r="H66" s="226"/>
    </row>
    <row r="67" spans="1:8" ht="15.75" customHeight="1">
      <c r="A67" t="s">
        <v>347</v>
      </c>
      <c r="B67" s="227"/>
      <c r="C67" s="227"/>
      <c r="D67" s="227"/>
      <c r="E67" s="227"/>
    </row>
    <row r="68" spans="1:8" ht="15.75" customHeight="1">
      <c r="A68" t="s">
        <v>357</v>
      </c>
      <c r="B68" s="228"/>
      <c r="C68" s="228"/>
      <c r="D68" s="228"/>
    </row>
    <row r="69" spans="1:8" ht="15.75" customHeight="1">
      <c r="A69" t="s">
        <v>363</v>
      </c>
      <c r="B69" s="229"/>
    </row>
    <row r="70" spans="1:8" ht="15.75" customHeight="1">
      <c r="B70" t="s">
        <v>368</v>
      </c>
    </row>
    <row r="71" spans="1:8" ht="15.75" customHeight="1"/>
    <row r="72" spans="1:8" ht="15.75" customHeight="1">
      <c r="A72" s="245"/>
      <c r="B72" s="246"/>
    </row>
    <row r="73" spans="1:8" ht="21.6" thickBot="1">
      <c r="A73" s="197" t="s">
        <v>384</v>
      </c>
      <c r="B73" s="198"/>
      <c r="C73" s="198"/>
      <c r="D73" s="198"/>
      <c r="E73" s="198"/>
    </row>
    <row r="74" spans="1:8" ht="15.75" customHeight="1" thickTop="1">
      <c r="A74" s="199" t="s">
        <v>342</v>
      </c>
      <c r="B74" s="199"/>
      <c r="C74" s="200" t="s">
        <v>343</v>
      </c>
      <c r="D74" s="201" t="s">
        <v>344</v>
      </c>
      <c r="E74" s="202" t="s">
        <v>345</v>
      </c>
    </row>
    <row r="75" spans="1:8" ht="15.75" customHeight="1">
      <c r="A75" s="230" t="s">
        <v>346</v>
      </c>
      <c r="B75" s="204" t="s">
        <v>109</v>
      </c>
      <c r="C75" s="231"/>
      <c r="D75" s="232"/>
      <c r="E75" s="233"/>
    </row>
    <row r="76" spans="1:8" ht="15.6">
      <c r="A76" s="234" t="s">
        <v>385</v>
      </c>
      <c r="B76" s="247" t="s">
        <v>386</v>
      </c>
      <c r="C76" s="34"/>
      <c r="D76" s="34"/>
      <c r="E76" s="34"/>
    </row>
    <row r="77" spans="1:8" ht="15.6">
      <c r="A77" s="236"/>
      <c r="B77" s="247" t="s">
        <v>387</v>
      </c>
      <c r="C77" s="34"/>
      <c r="D77" s="34"/>
      <c r="E77" s="34"/>
    </row>
    <row r="78" spans="1:8" ht="15.6">
      <c r="A78" s="236"/>
      <c r="B78" s="247" t="s">
        <v>388</v>
      </c>
      <c r="C78" s="34"/>
      <c r="D78" s="34"/>
      <c r="E78" s="34"/>
    </row>
    <row r="79" spans="1:8" ht="15.6">
      <c r="A79" s="236"/>
      <c r="B79" s="247" t="s">
        <v>389</v>
      </c>
      <c r="C79" s="34"/>
      <c r="D79" s="34"/>
      <c r="E79" s="34"/>
    </row>
    <row r="80" spans="1:8" ht="15.6">
      <c r="A80" s="236"/>
      <c r="B80" s="247" t="s">
        <v>390</v>
      </c>
      <c r="C80" s="34"/>
      <c r="D80" s="34"/>
      <c r="E80" s="34"/>
    </row>
    <row r="81" spans="1:8" ht="15.6">
      <c r="A81" s="236"/>
      <c r="B81" s="247" t="s">
        <v>391</v>
      </c>
      <c r="C81" s="34"/>
      <c r="D81" s="34"/>
      <c r="E81" s="34"/>
    </row>
    <row r="82" spans="1:8" ht="18">
      <c r="A82" s="238"/>
      <c r="B82" s="248"/>
      <c r="C82" s="34"/>
      <c r="D82" s="34"/>
      <c r="E82" s="34"/>
    </row>
    <row r="83" spans="1:8" ht="18">
      <c r="A83" s="249"/>
      <c r="B83" s="248" t="s">
        <v>392</v>
      </c>
      <c r="C83" s="34"/>
      <c r="D83" s="34"/>
      <c r="E83" s="34"/>
    </row>
    <row r="84" spans="1:8">
      <c r="A84" s="225" t="s">
        <v>366</v>
      </c>
    </row>
    <row r="85" spans="1:8">
      <c r="A85" t="s">
        <v>393</v>
      </c>
      <c r="B85" s="226" t="s">
        <v>367</v>
      </c>
      <c r="C85" s="226"/>
      <c r="D85" s="226"/>
      <c r="E85" s="226"/>
      <c r="F85" s="226"/>
      <c r="G85" s="226"/>
      <c r="H85" s="226"/>
    </row>
    <row r="86" spans="1:8">
      <c r="A86" t="s">
        <v>394</v>
      </c>
      <c r="B86" s="227"/>
      <c r="C86" s="227"/>
      <c r="D86" s="227"/>
      <c r="E86" s="227"/>
    </row>
    <row r="87" spans="1:8">
      <c r="A87" t="s">
        <v>395</v>
      </c>
      <c r="B87" s="228"/>
      <c r="C87" s="228"/>
      <c r="D87" s="228"/>
    </row>
    <row r="88" spans="1:8">
      <c r="A88" t="s">
        <v>396</v>
      </c>
      <c r="B88" s="229"/>
    </row>
    <row r="91" spans="1:8" ht="18">
      <c r="A91" s="249"/>
      <c r="B91" s="250"/>
    </row>
    <row r="92" spans="1:8" ht="21.6" thickBot="1">
      <c r="A92" s="197" t="s">
        <v>397</v>
      </c>
      <c r="B92" s="198"/>
      <c r="C92" s="198"/>
      <c r="D92" s="198"/>
      <c r="E92" s="198"/>
    </row>
    <row r="93" spans="1:8" ht="18.600000000000001" thickTop="1">
      <c r="A93" s="199" t="s">
        <v>342</v>
      </c>
      <c r="B93" s="199"/>
      <c r="C93" s="200" t="s">
        <v>343</v>
      </c>
      <c r="D93" s="201" t="s">
        <v>344</v>
      </c>
      <c r="E93" s="202" t="s">
        <v>345</v>
      </c>
    </row>
    <row r="94" spans="1:8" ht="18">
      <c r="A94" s="230" t="s">
        <v>346</v>
      </c>
      <c r="B94" s="204" t="s">
        <v>109</v>
      </c>
      <c r="C94" s="231"/>
      <c r="D94" s="232"/>
      <c r="E94" s="233"/>
    </row>
    <row r="95" spans="1:8">
      <c r="A95" s="240" t="s">
        <v>398</v>
      </c>
      <c r="B95" s="237" t="s">
        <v>399</v>
      </c>
      <c r="C95" s="34"/>
      <c r="D95" s="34"/>
      <c r="E95" s="34"/>
    </row>
    <row r="96" spans="1:8">
      <c r="A96" s="241"/>
      <c r="B96" s="237" t="s">
        <v>400</v>
      </c>
      <c r="C96" s="34"/>
      <c r="D96" s="34"/>
      <c r="E96" s="34"/>
    </row>
    <row r="97" spans="1:5">
      <c r="A97" s="241"/>
      <c r="B97" s="237"/>
      <c r="C97" s="34"/>
      <c r="D97" s="34"/>
      <c r="E97" s="34"/>
    </row>
    <row r="98" spans="1:5">
      <c r="A98" s="241"/>
      <c r="B98" s="237"/>
      <c r="C98" s="34"/>
      <c r="D98" s="34"/>
      <c r="E98" s="34"/>
    </row>
    <row r="99" spans="1:5" ht="15.6">
      <c r="A99" s="242"/>
      <c r="B99" s="251" t="s">
        <v>401</v>
      </c>
      <c r="C99" s="34"/>
      <c r="D99" s="34"/>
      <c r="E99" s="34"/>
    </row>
    <row r="100" spans="1:5">
      <c r="A100" s="240" t="s">
        <v>402</v>
      </c>
      <c r="B100" s="237" t="s">
        <v>403</v>
      </c>
      <c r="C100" s="34"/>
      <c r="D100" s="34"/>
      <c r="E100" s="34"/>
    </row>
    <row r="101" spans="1:5">
      <c r="A101" s="241"/>
      <c r="B101" s="237" t="s">
        <v>404</v>
      </c>
      <c r="C101" s="34"/>
      <c r="D101" s="34"/>
      <c r="E101" s="34"/>
    </row>
    <row r="102" spans="1:5">
      <c r="A102" s="241"/>
      <c r="B102" s="34"/>
      <c r="C102" s="34"/>
      <c r="D102" s="34"/>
      <c r="E102" s="34"/>
    </row>
    <row r="103" spans="1:5">
      <c r="A103" s="241"/>
      <c r="B103" s="34"/>
      <c r="C103" s="34"/>
      <c r="D103" s="34"/>
      <c r="E103" s="34"/>
    </row>
    <row r="104" spans="1:5" ht="15.6">
      <c r="A104" s="242"/>
      <c r="B104" s="251" t="s">
        <v>405</v>
      </c>
      <c r="C104" s="34"/>
      <c r="D104" s="34"/>
      <c r="E104" s="34"/>
    </row>
    <row r="105" spans="1:5">
      <c r="A105" s="240" t="s">
        <v>406</v>
      </c>
      <c r="B105" s="34"/>
      <c r="C105" s="34"/>
      <c r="D105" s="34"/>
      <c r="E105" s="34"/>
    </row>
    <row r="106" spans="1:5">
      <c r="A106" s="241"/>
      <c r="B106" s="34"/>
      <c r="C106" s="34"/>
      <c r="D106" s="34"/>
      <c r="E106" s="34"/>
    </row>
    <row r="107" spans="1:5">
      <c r="A107" s="241"/>
      <c r="B107" s="34"/>
      <c r="C107" s="34"/>
      <c r="D107" s="34"/>
      <c r="E107" s="34"/>
    </row>
    <row r="108" spans="1:5" ht="25.5" customHeight="1">
      <c r="A108" s="242"/>
      <c r="B108" s="251" t="s">
        <v>407</v>
      </c>
      <c r="C108" s="34"/>
      <c r="D108" s="34"/>
      <c r="E108" s="34"/>
    </row>
    <row r="109" spans="1:5">
      <c r="A109" s="240" t="s">
        <v>408</v>
      </c>
      <c r="B109" s="237" t="s">
        <v>409</v>
      </c>
      <c r="C109" s="34"/>
      <c r="D109" s="34"/>
      <c r="E109" s="34"/>
    </row>
    <row r="110" spans="1:5">
      <c r="A110" s="241"/>
      <c r="B110" s="237" t="s">
        <v>410</v>
      </c>
      <c r="C110" s="34"/>
      <c r="D110" s="34"/>
      <c r="E110" s="34"/>
    </row>
    <row r="111" spans="1:5">
      <c r="A111" s="241"/>
      <c r="B111" s="34"/>
      <c r="C111" s="34"/>
      <c r="D111" s="34"/>
      <c r="E111" s="34"/>
    </row>
    <row r="112" spans="1:5">
      <c r="A112" s="241"/>
      <c r="B112" s="34"/>
      <c r="C112" s="34"/>
      <c r="D112" s="34"/>
      <c r="E112" s="34"/>
    </row>
    <row r="113" spans="1:5" ht="15.6">
      <c r="A113" s="242"/>
      <c r="B113" s="251" t="s">
        <v>411</v>
      </c>
      <c r="C113" s="34"/>
      <c r="D113" s="34"/>
      <c r="E113" s="34"/>
    </row>
    <row r="114" spans="1:5">
      <c r="A114" s="240" t="s">
        <v>412</v>
      </c>
      <c r="B114" s="34"/>
      <c r="C114" s="34"/>
      <c r="D114" s="34"/>
      <c r="E114" s="34"/>
    </row>
    <row r="115" spans="1:5">
      <c r="A115" s="241"/>
      <c r="B115" s="34"/>
      <c r="C115" s="34"/>
      <c r="D115" s="34"/>
      <c r="E115" s="34"/>
    </row>
    <row r="116" spans="1:5">
      <c r="A116" s="241"/>
      <c r="B116" s="34"/>
      <c r="C116" s="34"/>
      <c r="D116" s="34"/>
      <c r="E116" s="34"/>
    </row>
    <row r="117" spans="1:5">
      <c r="A117" s="241"/>
      <c r="B117" s="34"/>
      <c r="C117" s="34"/>
      <c r="D117" s="34"/>
      <c r="E117" s="34"/>
    </row>
    <row r="118" spans="1:5">
      <c r="A118" s="241"/>
      <c r="B118" s="34"/>
      <c r="C118" s="34"/>
      <c r="D118" s="34"/>
      <c r="E118" s="34"/>
    </row>
    <row r="119" spans="1:5" ht="15.6">
      <c r="A119" s="242"/>
      <c r="B119" s="251" t="s">
        <v>413</v>
      </c>
      <c r="C119" s="34"/>
      <c r="D119" s="34"/>
      <c r="E119" s="34"/>
    </row>
    <row r="120" spans="1:5">
      <c r="A120" s="240" t="s">
        <v>414</v>
      </c>
      <c r="B120" s="34"/>
      <c r="C120" s="34"/>
      <c r="D120" s="34"/>
      <c r="E120" s="34"/>
    </row>
    <row r="121" spans="1:5">
      <c r="A121" s="241"/>
      <c r="B121" s="34"/>
      <c r="C121" s="34"/>
      <c r="D121" s="34"/>
      <c r="E121" s="34"/>
    </row>
    <row r="122" spans="1:5">
      <c r="A122" s="241"/>
      <c r="B122" s="34"/>
      <c r="C122" s="34"/>
      <c r="D122" s="34"/>
      <c r="E122" s="34"/>
    </row>
    <row r="123" spans="1:5">
      <c r="A123" s="241"/>
      <c r="B123" s="34"/>
      <c r="C123" s="34"/>
      <c r="D123" s="34"/>
      <c r="E123" s="34"/>
    </row>
    <row r="124" spans="1:5">
      <c r="A124" s="241"/>
      <c r="B124" s="34"/>
      <c r="C124" s="34"/>
      <c r="D124" s="34"/>
      <c r="E124" s="34"/>
    </row>
    <row r="125" spans="1:5" ht="15.6">
      <c r="A125" s="242"/>
      <c r="B125" s="251" t="s">
        <v>415</v>
      </c>
      <c r="C125" s="34"/>
      <c r="D125" s="34"/>
      <c r="E125" s="34"/>
    </row>
    <row r="126" spans="1:5">
      <c r="A126" s="240" t="s">
        <v>416</v>
      </c>
      <c r="B126" s="237" t="s">
        <v>417</v>
      </c>
      <c r="C126" s="34"/>
      <c r="D126" s="34"/>
      <c r="E126" s="34"/>
    </row>
    <row r="127" spans="1:5">
      <c r="A127" s="241"/>
      <c r="B127" s="237" t="s">
        <v>418</v>
      </c>
      <c r="C127" s="34"/>
      <c r="D127" s="34"/>
      <c r="E127" s="34"/>
    </row>
    <row r="128" spans="1:5">
      <c r="A128" s="241"/>
      <c r="B128" s="237" t="s">
        <v>419</v>
      </c>
      <c r="C128" s="34"/>
      <c r="D128" s="34"/>
      <c r="E128" s="34"/>
    </row>
    <row r="129" spans="1:5">
      <c r="A129" s="241"/>
      <c r="B129" s="237" t="s">
        <v>420</v>
      </c>
      <c r="C129" s="34"/>
      <c r="D129" s="34"/>
      <c r="E129" s="34"/>
    </row>
    <row r="130" spans="1:5" ht="28.8">
      <c r="A130" s="241"/>
      <c r="B130" s="252" t="s">
        <v>421</v>
      </c>
      <c r="C130" s="34"/>
      <c r="D130" s="34"/>
      <c r="E130" s="34"/>
    </row>
    <row r="131" spans="1:5">
      <c r="A131" s="241"/>
      <c r="B131" s="252"/>
      <c r="C131" s="34"/>
      <c r="D131" s="34"/>
      <c r="E131" s="34"/>
    </row>
    <row r="132" spans="1:5" ht="15.6">
      <c r="A132" s="242"/>
      <c r="B132" s="253" t="s">
        <v>422</v>
      </c>
      <c r="C132" s="34"/>
      <c r="D132" s="34"/>
      <c r="E132" s="34"/>
    </row>
    <row r="133" spans="1:5">
      <c r="A133" s="254" t="s">
        <v>423</v>
      </c>
      <c r="B133" s="34"/>
      <c r="C133" s="34"/>
      <c r="D133" s="34"/>
      <c r="E133" s="34"/>
    </row>
    <row r="134" spans="1:5">
      <c r="A134" s="255"/>
      <c r="B134" s="34"/>
      <c r="C134" s="34"/>
      <c r="D134" s="34"/>
      <c r="E134" s="34"/>
    </row>
    <row r="135" spans="1:5">
      <c r="A135" s="255"/>
      <c r="B135" s="34"/>
      <c r="C135" s="34"/>
      <c r="D135" s="34"/>
      <c r="E135" s="34"/>
    </row>
    <row r="136" spans="1:5">
      <c r="A136" s="255"/>
      <c r="B136" s="34"/>
      <c r="C136" s="34"/>
      <c r="D136" s="34"/>
      <c r="E136" s="34"/>
    </row>
    <row r="137" spans="1:5">
      <c r="A137" s="255"/>
      <c r="B137" s="34"/>
      <c r="C137" s="34"/>
      <c r="D137" s="34"/>
      <c r="E137" s="34"/>
    </row>
    <row r="138" spans="1:5" ht="15.6">
      <c r="A138" s="256"/>
      <c r="B138" s="251" t="s">
        <v>424</v>
      </c>
      <c r="C138" s="34"/>
      <c r="D138" s="34"/>
      <c r="E138" s="34"/>
    </row>
    <row r="139" spans="1:5">
      <c r="A139" s="254" t="s">
        <v>425</v>
      </c>
      <c r="B139" s="252" t="s">
        <v>426</v>
      </c>
      <c r="C139" s="34"/>
      <c r="D139" s="34"/>
      <c r="E139" s="34"/>
    </row>
    <row r="140" spans="1:5">
      <c r="A140" s="255"/>
      <c r="B140" s="252" t="s">
        <v>427</v>
      </c>
      <c r="C140" s="34"/>
      <c r="D140" s="34"/>
      <c r="E140" s="34"/>
    </row>
    <row r="141" spans="1:5">
      <c r="A141" s="255"/>
      <c r="B141" s="252" t="s">
        <v>428</v>
      </c>
      <c r="C141" s="34"/>
      <c r="D141" s="34"/>
      <c r="E141" s="34"/>
    </row>
    <row r="142" spans="1:5">
      <c r="A142" s="255"/>
      <c r="B142" s="252" t="s">
        <v>429</v>
      </c>
      <c r="C142" s="34"/>
      <c r="D142" s="34"/>
      <c r="E142" s="34"/>
    </row>
    <row r="143" spans="1:5">
      <c r="A143" s="255"/>
      <c r="B143" s="252"/>
      <c r="C143" s="34"/>
      <c r="D143" s="34"/>
      <c r="E143" s="34"/>
    </row>
    <row r="144" spans="1:5" ht="15.6">
      <c r="A144" s="256"/>
      <c r="B144" s="253" t="s">
        <v>430</v>
      </c>
      <c r="C144" s="34"/>
      <c r="D144" s="34"/>
      <c r="E144" s="34"/>
    </row>
    <row r="145" spans="1:8">
      <c r="A145" s="240" t="s">
        <v>431</v>
      </c>
      <c r="B145" s="34"/>
      <c r="C145" s="34"/>
      <c r="D145" s="34"/>
      <c r="E145" s="34"/>
    </row>
    <row r="146" spans="1:8">
      <c r="A146" s="241"/>
      <c r="B146" s="34"/>
      <c r="C146" s="34"/>
      <c r="D146" s="34"/>
      <c r="E146" s="34"/>
    </row>
    <row r="147" spans="1:8">
      <c r="A147" s="241"/>
      <c r="B147" s="34"/>
      <c r="C147" s="34"/>
      <c r="D147" s="34"/>
      <c r="E147" s="34"/>
    </row>
    <row r="148" spans="1:8">
      <c r="A148" s="241"/>
      <c r="B148" s="34"/>
      <c r="C148" s="34"/>
      <c r="D148" s="34"/>
      <c r="E148" s="34"/>
    </row>
    <row r="149" spans="1:8" ht="15.6">
      <c r="A149" s="242"/>
      <c r="B149" s="251" t="s">
        <v>432</v>
      </c>
      <c r="C149" s="34"/>
      <c r="D149" s="34"/>
      <c r="E149" s="34"/>
    </row>
    <row r="150" spans="1:8">
      <c r="A150" s="240" t="s">
        <v>433</v>
      </c>
      <c r="B150" s="252" t="s">
        <v>434</v>
      </c>
      <c r="C150" s="34"/>
      <c r="D150" s="34"/>
      <c r="E150" s="34"/>
    </row>
    <row r="151" spans="1:8">
      <c r="A151" s="241"/>
      <c r="B151" s="252" t="s">
        <v>435</v>
      </c>
      <c r="C151" s="34"/>
      <c r="D151" s="34"/>
      <c r="E151" s="34"/>
    </row>
    <row r="152" spans="1:8">
      <c r="A152" s="241"/>
      <c r="B152" s="252" t="s">
        <v>436</v>
      </c>
      <c r="C152" s="34"/>
      <c r="D152" s="34"/>
      <c r="E152" s="34"/>
    </row>
    <row r="153" spans="1:8">
      <c r="A153" s="241"/>
      <c r="B153" s="252" t="s">
        <v>437</v>
      </c>
      <c r="C153" s="34"/>
      <c r="D153" s="34"/>
      <c r="E153" s="34"/>
    </row>
    <row r="154" spans="1:8">
      <c r="A154" s="241"/>
      <c r="B154" s="252" t="s">
        <v>438</v>
      </c>
      <c r="C154" s="34"/>
      <c r="D154" s="34"/>
      <c r="E154" s="34"/>
    </row>
    <row r="155" spans="1:8">
      <c r="A155" s="241"/>
      <c r="B155" s="252"/>
      <c r="C155" s="34"/>
      <c r="D155" s="34"/>
      <c r="E155" s="34"/>
    </row>
    <row r="156" spans="1:8" ht="15.6">
      <c r="A156" s="242"/>
      <c r="B156" s="251" t="s">
        <v>439</v>
      </c>
      <c r="C156" s="34"/>
      <c r="D156" s="34"/>
      <c r="E156" s="34"/>
    </row>
    <row r="157" spans="1:8" ht="18">
      <c r="A157" s="257" t="s">
        <v>440</v>
      </c>
      <c r="B157" s="257"/>
      <c r="C157" s="34"/>
      <c r="D157" s="34"/>
      <c r="E157" s="34"/>
    </row>
    <row r="158" spans="1:8">
      <c r="A158" s="225" t="s">
        <v>366</v>
      </c>
    </row>
    <row r="159" spans="1:8">
      <c r="A159" s="137" t="s">
        <v>441</v>
      </c>
      <c r="B159" s="226" t="s">
        <v>367</v>
      </c>
      <c r="C159" s="226"/>
      <c r="D159" s="226"/>
      <c r="E159" s="226"/>
      <c r="F159" s="226"/>
      <c r="G159" s="226"/>
      <c r="H159" s="226"/>
    </row>
    <row r="160" spans="1:8">
      <c r="A160" t="s">
        <v>442</v>
      </c>
      <c r="B160" s="9"/>
    </row>
    <row r="161" spans="1:5">
      <c r="A161" t="s">
        <v>402</v>
      </c>
      <c r="B161" s="228"/>
      <c r="C161" s="228"/>
      <c r="D161" s="228"/>
    </row>
    <row r="162" spans="1:5">
      <c r="A162" t="s">
        <v>406</v>
      </c>
      <c r="B162" s="258"/>
      <c r="C162" s="258"/>
    </row>
    <row r="163" spans="1:5">
      <c r="A163" t="s">
        <v>408</v>
      </c>
    </row>
    <row r="164" spans="1:5">
      <c r="A164" t="s">
        <v>443</v>
      </c>
    </row>
    <row r="165" spans="1:5" ht="28.8">
      <c r="A165" s="259" t="s">
        <v>414</v>
      </c>
    </row>
    <row r="166" spans="1:5">
      <c r="A166" t="s">
        <v>416</v>
      </c>
    </row>
    <row r="167" spans="1:5" ht="28.8">
      <c r="A167" s="259" t="s">
        <v>423</v>
      </c>
    </row>
    <row r="168" spans="1:5" ht="18">
      <c r="A168" t="s">
        <v>425</v>
      </c>
      <c r="B168" s="260"/>
    </row>
    <row r="169" spans="1:5" ht="28.8">
      <c r="A169" s="259" t="s">
        <v>431</v>
      </c>
      <c r="B169" s="260"/>
    </row>
    <row r="170" spans="1:5" ht="28.8">
      <c r="A170" s="259" t="s">
        <v>433</v>
      </c>
      <c r="B170" s="260"/>
    </row>
    <row r="171" spans="1:5" ht="18">
      <c r="A171" s="259"/>
      <c r="B171" s="260"/>
    </row>
    <row r="172" spans="1:5" ht="18">
      <c r="A172" s="260"/>
      <c r="B172" s="260"/>
    </row>
    <row r="173" spans="1:5" ht="18">
      <c r="A173" s="261"/>
      <c r="B173" s="262"/>
    </row>
    <row r="174" spans="1:5" ht="21.6" thickBot="1">
      <c r="A174" s="197" t="s">
        <v>444</v>
      </c>
      <c r="B174" s="198"/>
      <c r="C174" s="198"/>
      <c r="D174" s="198"/>
      <c r="E174" s="198"/>
    </row>
    <row r="175" spans="1:5" ht="18.600000000000001" thickTop="1">
      <c r="A175" s="199" t="s">
        <v>342</v>
      </c>
      <c r="B175" s="199"/>
      <c r="C175" s="200" t="s">
        <v>343</v>
      </c>
      <c r="D175" s="201" t="s">
        <v>344</v>
      </c>
      <c r="E175" s="202" t="s">
        <v>345</v>
      </c>
    </row>
    <row r="176" spans="1:5" ht="18">
      <c r="A176" s="230" t="s">
        <v>346</v>
      </c>
      <c r="B176" s="204" t="s">
        <v>109</v>
      </c>
      <c r="C176" s="231"/>
      <c r="D176" s="232"/>
      <c r="E176" s="233"/>
    </row>
    <row r="177" spans="1:8" ht="15" customHeight="1">
      <c r="A177" s="240" t="s">
        <v>445</v>
      </c>
      <c r="B177" s="34" t="s">
        <v>446</v>
      </c>
      <c r="C177" s="34"/>
      <c r="D177" s="34"/>
      <c r="E177" s="34"/>
    </row>
    <row r="178" spans="1:8" ht="15" customHeight="1">
      <c r="A178" s="241"/>
      <c r="B178" s="34" t="s">
        <v>447</v>
      </c>
      <c r="C178" s="34"/>
      <c r="D178" s="34"/>
      <c r="E178" s="34"/>
    </row>
    <row r="179" spans="1:8" ht="15" customHeight="1">
      <c r="A179" s="241"/>
      <c r="B179" s="34" t="s">
        <v>448</v>
      </c>
      <c r="C179" s="34"/>
      <c r="D179" s="34"/>
      <c r="E179" s="34"/>
    </row>
    <row r="180" spans="1:8" ht="15" customHeight="1">
      <c r="A180" s="241"/>
      <c r="B180" s="34" t="s">
        <v>449</v>
      </c>
      <c r="C180" s="34"/>
      <c r="D180" s="34"/>
      <c r="E180" s="34"/>
    </row>
    <row r="181" spans="1:8" ht="15" customHeight="1">
      <c r="A181" s="241"/>
      <c r="B181" s="34" t="s">
        <v>102</v>
      </c>
      <c r="C181" s="34"/>
      <c r="D181" s="34"/>
      <c r="E181" s="34"/>
    </row>
    <row r="182" spans="1:8" ht="15" customHeight="1">
      <c r="A182" s="242"/>
      <c r="B182" s="34"/>
      <c r="C182" s="34"/>
      <c r="D182" s="34"/>
      <c r="E182" s="34"/>
    </row>
    <row r="183" spans="1:8" ht="15" customHeight="1">
      <c r="A183" s="263" t="s">
        <v>450</v>
      </c>
      <c r="B183" s="264"/>
      <c r="C183" s="34"/>
      <c r="D183" s="34"/>
      <c r="E183" s="34"/>
    </row>
    <row r="184" spans="1:8" ht="15" customHeight="1"/>
    <row r="185" spans="1:8" ht="15" customHeight="1">
      <c r="A185" s="225" t="s">
        <v>366</v>
      </c>
    </row>
    <row r="186" spans="1:8" ht="15" customHeight="1">
      <c r="A186" t="s">
        <v>451</v>
      </c>
      <c r="B186" s="226" t="s">
        <v>452</v>
      </c>
      <c r="C186" s="226"/>
      <c r="D186" s="226"/>
      <c r="E186" s="226"/>
      <c r="F186" s="226"/>
      <c r="G186" s="226"/>
      <c r="H186" s="226"/>
    </row>
    <row r="187" spans="1:8" ht="15" customHeight="1">
      <c r="A187" t="s">
        <v>446</v>
      </c>
      <c r="B187" s="227"/>
      <c r="C187" s="227"/>
      <c r="D187" s="227"/>
      <c r="E187" s="227"/>
    </row>
    <row r="188" spans="1:8" ht="15" customHeight="1">
      <c r="A188" t="s">
        <v>448</v>
      </c>
      <c r="B188" s="228"/>
      <c r="C188" s="228"/>
      <c r="D188" s="228"/>
    </row>
    <row r="189" spans="1:8" ht="15" customHeight="1">
      <c r="A189" t="s">
        <v>447</v>
      </c>
      <c r="B189" s="229"/>
    </row>
    <row r="190" spans="1:8" ht="15" customHeight="1">
      <c r="A190" t="s">
        <v>453</v>
      </c>
      <c r="B190" s="265"/>
    </row>
    <row r="191" spans="1:8" ht="15" customHeight="1">
      <c r="A191" t="s">
        <v>454</v>
      </c>
      <c r="B191" s="266"/>
    </row>
    <row r="192" spans="1:8" ht="15" customHeight="1">
      <c r="A192" t="s">
        <v>213</v>
      </c>
      <c r="B192" s="267"/>
    </row>
    <row r="193" spans="1:8">
      <c r="B193" t="s">
        <v>368</v>
      </c>
    </row>
    <row r="194" spans="1:8">
      <c r="A194" s="268"/>
    </row>
    <row r="195" spans="1:8" ht="21">
      <c r="A195" s="269" t="s">
        <v>455</v>
      </c>
      <c r="B195" s="269"/>
      <c r="C195" s="269"/>
      <c r="D195" s="269"/>
      <c r="E195" s="269"/>
    </row>
    <row r="196" spans="1:8" ht="18">
      <c r="A196" s="270" t="s">
        <v>342</v>
      </c>
      <c r="B196" s="271"/>
      <c r="C196" s="231" t="s">
        <v>343</v>
      </c>
      <c r="D196" s="272" t="s">
        <v>344</v>
      </c>
      <c r="E196" s="273" t="s">
        <v>345</v>
      </c>
    </row>
    <row r="197" spans="1:8" ht="18">
      <c r="A197" s="274" t="s">
        <v>346</v>
      </c>
      <c r="B197" s="275" t="s">
        <v>109</v>
      </c>
      <c r="C197" s="231"/>
      <c r="D197" s="272"/>
      <c r="E197" s="273"/>
    </row>
    <row r="198" spans="1:8" ht="15.6">
      <c r="A198" s="276" t="s">
        <v>383</v>
      </c>
      <c r="B198" s="276"/>
      <c r="C198" s="34"/>
      <c r="D198" s="34"/>
      <c r="E198" s="34"/>
      <c r="H198" s="2"/>
    </row>
    <row r="199" spans="1:8" ht="15.6">
      <c r="A199" s="276" t="s">
        <v>456</v>
      </c>
      <c r="B199" s="276" t="s">
        <v>457</v>
      </c>
      <c r="C199" s="34"/>
      <c r="D199" s="34"/>
      <c r="E199" s="34"/>
    </row>
    <row r="200" spans="1:8" ht="15.6">
      <c r="A200" s="276" t="s">
        <v>456</v>
      </c>
      <c r="B200" s="276" t="s">
        <v>458</v>
      </c>
      <c r="C200" s="34"/>
      <c r="D200" s="34"/>
      <c r="E200" s="34"/>
    </row>
    <row r="201" spans="1:8" ht="15.6">
      <c r="A201" s="276" t="s">
        <v>456</v>
      </c>
      <c r="B201" s="276" t="s">
        <v>459</v>
      </c>
      <c r="C201" s="34"/>
      <c r="D201" s="34"/>
      <c r="E201" s="34"/>
    </row>
    <row r="202" spans="1:8" ht="15.6">
      <c r="A202" s="276" t="s">
        <v>460</v>
      </c>
      <c r="B202" s="276"/>
      <c r="C202" s="34"/>
      <c r="D202" s="34"/>
      <c r="E202" s="34"/>
    </row>
    <row r="203" spans="1:8" ht="18">
      <c r="A203" s="277" t="s">
        <v>461</v>
      </c>
      <c r="B203" s="34"/>
      <c r="C203" s="34"/>
      <c r="D203" s="34"/>
      <c r="E203" s="34"/>
    </row>
    <row r="204" spans="1:8" ht="18">
      <c r="A204" s="278"/>
    </row>
    <row r="205" spans="1:8">
      <c r="A205" s="225" t="s">
        <v>366</v>
      </c>
    </row>
    <row r="206" spans="1:8">
      <c r="A206" t="s">
        <v>462</v>
      </c>
      <c r="B206" s="226" t="s">
        <v>463</v>
      </c>
      <c r="C206" s="226"/>
      <c r="D206" s="226"/>
      <c r="E206" s="226"/>
      <c r="F206" s="226"/>
      <c r="G206" s="226"/>
      <c r="H206" s="226"/>
    </row>
    <row r="207" spans="1:8">
      <c r="A207" t="s">
        <v>464</v>
      </c>
      <c r="B207" s="227"/>
      <c r="C207" s="227"/>
      <c r="D207" s="227"/>
      <c r="E207" s="227"/>
    </row>
    <row r="208" spans="1:8">
      <c r="A208" t="s">
        <v>465</v>
      </c>
      <c r="B208" s="228"/>
      <c r="C208" s="228"/>
      <c r="D208" s="228"/>
    </row>
    <row r="209" spans="1:3">
      <c r="A209" t="s">
        <v>466</v>
      </c>
      <c r="B209" s="229"/>
    </row>
    <row r="210" spans="1:3">
      <c r="A210" t="s">
        <v>467</v>
      </c>
      <c r="B210" s="279"/>
      <c r="C210" s="279"/>
    </row>
    <row r="211" spans="1:3">
      <c r="A211" t="s">
        <v>460</v>
      </c>
      <c r="B211" s="265"/>
    </row>
    <row r="213" spans="1:3">
      <c r="B213" t="s">
        <v>368</v>
      </c>
    </row>
    <row r="214" spans="1:3">
      <c r="A214" t="s">
        <v>468</v>
      </c>
    </row>
    <row r="215" spans="1:3">
      <c r="A215" t="s">
        <v>469</v>
      </c>
    </row>
    <row r="216" spans="1:3">
      <c r="A216" t="s">
        <v>470</v>
      </c>
    </row>
    <row r="219" spans="1:3">
      <c r="A219" s="229" t="s">
        <v>471</v>
      </c>
      <c r="B219" s="229"/>
    </row>
  </sheetData>
  <mergeCells count="72">
    <mergeCell ref="B208:D208"/>
    <mergeCell ref="A196:B196"/>
    <mergeCell ref="C196:C197"/>
    <mergeCell ref="D196:D197"/>
    <mergeCell ref="E196:E197"/>
    <mergeCell ref="B206:H206"/>
    <mergeCell ref="B207:E207"/>
    <mergeCell ref="A177:A182"/>
    <mergeCell ref="A183:B183"/>
    <mergeCell ref="B186:H186"/>
    <mergeCell ref="B187:E187"/>
    <mergeCell ref="B188:D188"/>
    <mergeCell ref="A195:E195"/>
    <mergeCell ref="B159:H159"/>
    <mergeCell ref="B161:D161"/>
    <mergeCell ref="B162:C162"/>
    <mergeCell ref="A174:E174"/>
    <mergeCell ref="A175:B175"/>
    <mergeCell ref="C175:C176"/>
    <mergeCell ref="D175:D176"/>
    <mergeCell ref="E175:E176"/>
    <mergeCell ref="A126:A132"/>
    <mergeCell ref="A133:A138"/>
    <mergeCell ref="A139:A144"/>
    <mergeCell ref="A145:A149"/>
    <mergeCell ref="A150:A156"/>
    <mergeCell ref="A157:B157"/>
    <mergeCell ref="A95:A99"/>
    <mergeCell ref="A100:A104"/>
    <mergeCell ref="A105:A108"/>
    <mergeCell ref="A109:A113"/>
    <mergeCell ref="A114:A119"/>
    <mergeCell ref="A120:A125"/>
    <mergeCell ref="A76:A82"/>
    <mergeCell ref="B85:H85"/>
    <mergeCell ref="B86:E86"/>
    <mergeCell ref="B87:D87"/>
    <mergeCell ref="A92:E92"/>
    <mergeCell ref="A93:B93"/>
    <mergeCell ref="C93:C94"/>
    <mergeCell ref="D93:D94"/>
    <mergeCell ref="E93:E94"/>
    <mergeCell ref="B68:D68"/>
    <mergeCell ref="A73:E73"/>
    <mergeCell ref="A74:B74"/>
    <mergeCell ref="C74:C75"/>
    <mergeCell ref="D74:D75"/>
    <mergeCell ref="E74:E75"/>
    <mergeCell ref="A46:A53"/>
    <mergeCell ref="A54:A58"/>
    <mergeCell ref="A59:A63"/>
    <mergeCell ref="A64:B64"/>
    <mergeCell ref="B66:H66"/>
    <mergeCell ref="B67:E67"/>
    <mergeCell ref="B37:D37"/>
    <mergeCell ref="A43:E43"/>
    <mergeCell ref="A44:B44"/>
    <mergeCell ref="C44:C45"/>
    <mergeCell ref="D44:D45"/>
    <mergeCell ref="E44:E45"/>
    <mergeCell ref="A8:A17"/>
    <mergeCell ref="A18:A24"/>
    <mergeCell ref="A25:A32"/>
    <mergeCell ref="A33:B33"/>
    <mergeCell ref="B35:H35"/>
    <mergeCell ref="B36:E36"/>
    <mergeCell ref="A2:E3"/>
    <mergeCell ref="A5:E5"/>
    <mergeCell ref="A6:B6"/>
    <mergeCell ref="C6:C7"/>
    <mergeCell ref="D6:D7"/>
    <mergeCell ref="E6:E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30FF-6ED2-412D-8B7B-D8EF3729FC6F}">
  <dimension ref="B1:P138"/>
  <sheetViews>
    <sheetView workbookViewId="0">
      <selection activeCell="I20" sqref="I20"/>
    </sheetView>
  </sheetViews>
  <sheetFormatPr defaultColWidth="9.77734375" defaultRowHeight="14.4"/>
  <cols>
    <col min="1" max="1" width="2.77734375" customWidth="1"/>
    <col min="2" max="2" width="30.5546875" customWidth="1"/>
    <col min="3" max="3" width="11.88671875" bestFit="1" customWidth="1"/>
    <col min="4" max="4" width="18.33203125" bestFit="1" customWidth="1"/>
    <col min="5" max="5" width="10.5546875" bestFit="1" customWidth="1"/>
    <col min="6" max="6" width="18.33203125" bestFit="1" customWidth="1"/>
    <col min="7" max="7" width="10.5546875" bestFit="1" customWidth="1"/>
    <col min="8" max="8" width="20" bestFit="1" customWidth="1"/>
    <col min="10" max="10" width="4.109375" customWidth="1"/>
    <col min="11" max="11" width="31.6640625" bestFit="1" customWidth="1"/>
    <col min="12" max="12" width="13.33203125" bestFit="1" customWidth="1"/>
  </cols>
  <sheetData>
    <row r="1" spans="2:15" ht="15" thickBot="1">
      <c r="K1" t="s">
        <v>365</v>
      </c>
    </row>
    <row r="2" spans="2:15" ht="15" thickBot="1">
      <c r="B2" s="280" t="s">
        <v>347</v>
      </c>
      <c r="C2" s="281"/>
      <c r="D2" s="281"/>
      <c r="E2" s="281"/>
      <c r="F2" s="281"/>
      <c r="G2" s="281"/>
      <c r="H2" s="281"/>
      <c r="I2" s="282"/>
    </row>
    <row r="3" spans="2:15" ht="15" thickBot="1">
      <c r="B3" s="283" t="s">
        <v>349</v>
      </c>
      <c r="C3" s="284">
        <v>41430</v>
      </c>
      <c r="D3" s="285">
        <v>5500000</v>
      </c>
      <c r="E3" s="286">
        <v>42945</v>
      </c>
      <c r="F3" s="285">
        <v>7500000</v>
      </c>
      <c r="G3" s="287">
        <f>+(F3/D3)^(365/(E3-C3))-1</f>
        <v>7.7586474581842868E-2</v>
      </c>
      <c r="H3" s="287">
        <f>+(F3/F5)*G3*100</f>
        <v>4.3103596989912711</v>
      </c>
      <c r="J3" s="34" t="s">
        <v>472</v>
      </c>
      <c r="K3" s="34"/>
      <c r="L3" s="34">
        <v>13500000</v>
      </c>
      <c r="M3" s="34"/>
      <c r="N3" s="34">
        <v>12.236454574449207</v>
      </c>
      <c r="O3" s="34">
        <f>+(L3/L7)*N3</f>
        <v>10.897836937315606</v>
      </c>
    </row>
    <row r="4" spans="2:15" ht="15" thickBot="1">
      <c r="B4" s="283" t="s">
        <v>349</v>
      </c>
      <c r="C4" s="286">
        <v>42648</v>
      </c>
      <c r="D4" s="285">
        <v>5250000</v>
      </c>
      <c r="E4" s="286">
        <v>42945</v>
      </c>
      <c r="F4" s="285">
        <v>6000000</v>
      </c>
      <c r="G4" s="287">
        <f>+(F4/D4)^(365/(E4-C4))-1</f>
        <v>0.17833713469780355</v>
      </c>
      <c r="H4" s="287">
        <f>+(F4/F5)*G4*100</f>
        <v>7.9260948754579355</v>
      </c>
      <c r="J4" s="34" t="s">
        <v>473</v>
      </c>
      <c r="K4" s="34"/>
      <c r="L4" s="34">
        <v>1063250</v>
      </c>
      <c r="M4" s="34"/>
      <c r="N4" s="34">
        <v>8.9866818940820146</v>
      </c>
      <c r="O4" s="34">
        <f>+(L4/L7)*N4</f>
        <v>0.6303557154607361</v>
      </c>
    </row>
    <row r="5" spans="2:15" ht="15" thickBot="1">
      <c r="B5" s="288" t="s">
        <v>472</v>
      </c>
      <c r="C5" s="289"/>
      <c r="D5" s="289">
        <v>10750000</v>
      </c>
      <c r="E5" s="289"/>
      <c r="F5" s="289">
        <v>13500000</v>
      </c>
      <c r="G5" s="289"/>
      <c r="H5" s="290">
        <f>SUM(H3:H4)</f>
        <v>12.236454574449207</v>
      </c>
      <c r="J5" s="34" t="s">
        <v>474</v>
      </c>
      <c r="K5" s="34"/>
      <c r="L5" s="34">
        <v>595000</v>
      </c>
      <c r="M5" s="34"/>
      <c r="N5" s="34">
        <v>-2.2929968905414433</v>
      </c>
      <c r="O5" s="34">
        <f>+(L5/L7)*N5</f>
        <v>-9.0005980233348756E-2</v>
      </c>
    </row>
    <row r="6" spans="2:15" ht="15" thickBot="1">
      <c r="B6" s="280" t="s">
        <v>475</v>
      </c>
      <c r="C6" s="281"/>
      <c r="D6" s="281"/>
      <c r="E6" s="281"/>
      <c r="F6" s="281"/>
      <c r="G6" s="281"/>
      <c r="H6" s="281"/>
      <c r="I6" s="281"/>
      <c r="J6" s="34"/>
      <c r="K6" s="34"/>
      <c r="L6" s="34"/>
      <c r="M6" s="34"/>
      <c r="N6" s="34"/>
      <c r="O6" s="34"/>
    </row>
    <row r="7" spans="2:15" ht="15" thickBot="1">
      <c r="B7" s="291" t="s">
        <v>476</v>
      </c>
      <c r="C7" s="292"/>
      <c r="D7" s="292"/>
      <c r="E7" s="292"/>
      <c r="F7" s="292"/>
      <c r="G7" s="292"/>
      <c r="H7" s="292"/>
      <c r="I7" s="292"/>
      <c r="J7" s="34" t="s">
        <v>103</v>
      </c>
      <c r="K7" s="34"/>
      <c r="L7" s="34">
        <f>SUM(L3:L6)</f>
        <v>15158250</v>
      </c>
      <c r="M7" s="34"/>
      <c r="N7" s="34"/>
      <c r="O7" s="34">
        <f>SUM(O3:O6)</f>
        <v>11.438186672542994</v>
      </c>
    </row>
    <row r="8" spans="2:15" ht="15" thickBot="1">
      <c r="B8" s="283" t="s">
        <v>454</v>
      </c>
      <c r="C8" s="286">
        <v>40308</v>
      </c>
      <c r="D8" s="285">
        <v>165690</v>
      </c>
      <c r="E8" s="286">
        <v>42945</v>
      </c>
      <c r="F8" s="285">
        <v>331380</v>
      </c>
      <c r="G8" s="287">
        <f>+(F8/D8)^(365/(E8-C8))-1</f>
        <v>0.10069508278416239</v>
      </c>
      <c r="H8" s="293">
        <f>+F8/F9*G8*100</f>
        <v>10.06950827841624</v>
      </c>
    </row>
    <row r="9" spans="2:15" ht="15" thickBot="1">
      <c r="B9" s="294" t="s">
        <v>477</v>
      </c>
      <c r="C9" s="295"/>
      <c r="D9" s="295">
        <v>165690</v>
      </c>
      <c r="E9" s="295"/>
      <c r="F9" s="295">
        <v>331380</v>
      </c>
      <c r="G9" s="295"/>
      <c r="H9" s="296">
        <f>SUM(H8)</f>
        <v>10.06950827841624</v>
      </c>
    </row>
    <row r="10" spans="2:15" ht="15" thickBot="1">
      <c r="B10" s="288"/>
      <c r="C10" s="289"/>
      <c r="D10" s="289"/>
      <c r="E10" s="289"/>
      <c r="F10" s="289"/>
      <c r="G10" s="289"/>
      <c r="H10" s="297"/>
    </row>
    <row r="11" spans="2:15" ht="15" thickBot="1">
      <c r="B11" s="291" t="s">
        <v>478</v>
      </c>
      <c r="C11" s="292"/>
      <c r="D11" s="292"/>
      <c r="E11" s="292"/>
      <c r="F11" s="292"/>
      <c r="G11" s="292"/>
      <c r="H11" s="292"/>
      <c r="I11" s="298"/>
    </row>
    <row r="12" spans="2:15" ht="15" thickBot="1">
      <c r="B12" s="283" t="s">
        <v>478</v>
      </c>
      <c r="C12" s="286">
        <v>41072</v>
      </c>
      <c r="D12" s="285">
        <v>37050</v>
      </c>
      <c r="E12" s="286">
        <v>42945</v>
      </c>
      <c r="F12" s="285">
        <v>51870</v>
      </c>
      <c r="G12" s="287">
        <f>+(F12/D12)^(365/(E12-C12))-1</f>
        <v>6.7767339529586357E-2</v>
      </c>
      <c r="H12" s="293">
        <f>+F12/F13*G12*100</f>
        <v>6.7767339529586357</v>
      </c>
    </row>
    <row r="13" spans="2:15" ht="15" thickBot="1">
      <c r="B13" s="294" t="s">
        <v>479</v>
      </c>
      <c r="C13" s="295"/>
      <c r="D13" s="295">
        <v>37050</v>
      </c>
      <c r="E13" s="295"/>
      <c r="F13" s="295">
        <v>51870</v>
      </c>
      <c r="G13" s="295"/>
      <c r="H13" s="296">
        <f>SUM(H12)</f>
        <v>6.7767339529586357</v>
      </c>
    </row>
    <row r="14" spans="2:15" ht="15" thickBot="1">
      <c r="B14" s="291" t="s">
        <v>361</v>
      </c>
      <c r="C14" s="292"/>
      <c r="D14" s="292"/>
      <c r="E14" s="292"/>
      <c r="F14" s="292"/>
      <c r="G14" s="292"/>
      <c r="H14" s="292"/>
      <c r="I14" s="298"/>
    </row>
    <row r="15" spans="2:15" ht="15" thickBot="1">
      <c r="B15" s="283" t="s">
        <v>361</v>
      </c>
      <c r="C15" s="286">
        <v>41804</v>
      </c>
      <c r="D15" s="285">
        <v>525000</v>
      </c>
      <c r="E15" s="286">
        <v>42945</v>
      </c>
      <c r="F15" s="285">
        <v>680000</v>
      </c>
      <c r="G15" s="287">
        <f>+(F15/D15)^(365/(E15-C15))-1</f>
        <v>8.6275686477075952E-2</v>
      </c>
      <c r="H15" s="293">
        <f>+(F15/F16*G15)*100</f>
        <v>8.6275686477075944</v>
      </c>
    </row>
    <row r="16" spans="2:15" ht="15" thickBot="1">
      <c r="B16" s="294" t="s">
        <v>480</v>
      </c>
      <c r="C16" s="295"/>
      <c r="D16" s="295">
        <v>525000</v>
      </c>
      <c r="E16" s="295"/>
      <c r="F16" s="295">
        <v>680000</v>
      </c>
      <c r="G16" s="295"/>
      <c r="H16" s="296">
        <f>SUM(H15)</f>
        <v>8.6275686477075944</v>
      </c>
    </row>
    <row r="17" spans="2:9" ht="15" thickBot="1">
      <c r="B17" s="288" t="s">
        <v>473</v>
      </c>
      <c r="C17" s="289"/>
      <c r="D17" s="289">
        <v>727740</v>
      </c>
      <c r="E17" s="289"/>
      <c r="F17" s="289">
        <f>+F9+F13+F16</f>
        <v>1063250</v>
      </c>
      <c r="G17" s="289"/>
      <c r="H17" s="297">
        <f>+(F9/F17)*H9+(F13/F17)*H13+(F16/F17)*H16</f>
        <v>8.9866818940820146</v>
      </c>
    </row>
    <row r="18" spans="2:9" ht="15" thickBot="1">
      <c r="B18" s="280" t="s">
        <v>481</v>
      </c>
      <c r="C18" s="281"/>
      <c r="D18" s="281"/>
      <c r="E18" s="281"/>
      <c r="F18" s="281"/>
      <c r="G18" s="281"/>
      <c r="H18" s="281"/>
      <c r="I18" s="282"/>
    </row>
    <row r="19" spans="2:9" ht="15" thickBot="1">
      <c r="B19" s="283" t="s">
        <v>482</v>
      </c>
      <c r="C19" s="286">
        <v>42171</v>
      </c>
      <c r="D19" s="285">
        <v>625000</v>
      </c>
      <c r="E19" s="286">
        <v>42945</v>
      </c>
      <c r="F19" s="285">
        <v>595000</v>
      </c>
      <c r="G19" s="287">
        <f>+(F19/D19)^(365/(E19-C19))-1</f>
        <v>-2.2929968905414433E-2</v>
      </c>
      <c r="H19" s="287">
        <f>+F19/F20*G19*100</f>
        <v>-2.2929968905414433</v>
      </c>
    </row>
    <row r="20" spans="2:9" ht="15" thickBot="1">
      <c r="B20" s="288" t="s">
        <v>474</v>
      </c>
      <c r="C20" s="289"/>
      <c r="D20" s="289">
        <v>625000</v>
      </c>
      <c r="E20" s="289"/>
      <c r="F20" s="289">
        <v>595000</v>
      </c>
      <c r="G20" s="289"/>
      <c r="H20" s="290">
        <f>SUM(H19)</f>
        <v>-2.2929968905414433</v>
      </c>
    </row>
    <row r="21" spans="2:9" ht="46.2" thickBot="1">
      <c r="B21" s="299" t="s">
        <v>483</v>
      </c>
      <c r="C21" s="299"/>
      <c r="D21" s="299">
        <v>12102740</v>
      </c>
      <c r="E21" s="299"/>
      <c r="F21" s="299">
        <v>15158250</v>
      </c>
      <c r="G21" s="299"/>
      <c r="H21" s="299"/>
    </row>
    <row r="22" spans="2:9" ht="23.4" thickBot="1">
      <c r="B22" s="300" t="s">
        <v>484</v>
      </c>
      <c r="C22" s="301"/>
      <c r="D22" s="301"/>
      <c r="E22" s="301"/>
      <c r="F22" s="301"/>
      <c r="G22" s="301"/>
      <c r="H22" s="301"/>
      <c r="I22" s="302"/>
    </row>
    <row r="23" spans="2:9" ht="18" thickBot="1">
      <c r="B23" s="303" t="s">
        <v>485</v>
      </c>
      <c r="C23" s="304"/>
      <c r="D23" s="304"/>
      <c r="E23" s="304"/>
      <c r="F23" s="304"/>
      <c r="G23" s="304"/>
      <c r="H23" s="304"/>
      <c r="I23" s="305"/>
    </row>
    <row r="24" spans="2:9" ht="15" thickBot="1">
      <c r="B24" s="280" t="s">
        <v>486</v>
      </c>
      <c r="C24" s="281"/>
      <c r="D24" s="281"/>
      <c r="E24" s="281"/>
      <c r="F24" s="281"/>
      <c r="G24" s="281"/>
      <c r="H24" s="281"/>
      <c r="I24" s="282"/>
    </row>
    <row r="25" spans="2:9" ht="15" thickBot="1">
      <c r="B25" s="291" t="s">
        <v>487</v>
      </c>
      <c r="C25" s="292"/>
      <c r="D25" s="292"/>
      <c r="E25" s="292"/>
      <c r="F25" s="292"/>
      <c r="G25" s="292"/>
      <c r="H25" s="292"/>
      <c r="I25" s="298"/>
    </row>
    <row r="26" spans="2:9" ht="15" thickBot="1">
      <c r="B26" s="283" t="s">
        <v>488</v>
      </c>
      <c r="C26" s="286">
        <v>40212</v>
      </c>
      <c r="D26" s="285">
        <v>7750</v>
      </c>
      <c r="E26" s="286">
        <v>42945</v>
      </c>
      <c r="F26" s="285">
        <v>56250</v>
      </c>
      <c r="G26" s="287">
        <f>+(F26/D26)^(365/(E26-C26))-1</f>
        <v>0.30306204074610421</v>
      </c>
      <c r="H26" s="287">
        <f>+F26/F29*G26*100</f>
        <v>0.92178383464512936</v>
      </c>
    </row>
    <row r="27" spans="2:9" ht="15" thickBot="1">
      <c r="B27" s="283" t="s">
        <v>489</v>
      </c>
      <c r="C27" s="286">
        <v>38547</v>
      </c>
      <c r="D27" s="285">
        <v>188750</v>
      </c>
      <c r="E27" s="286">
        <v>42945</v>
      </c>
      <c r="F27" s="285">
        <v>423750</v>
      </c>
      <c r="G27" s="287">
        <f>+(F27/D27)^(365/(E27-C27))-1</f>
        <v>6.9421160299370843E-2</v>
      </c>
      <c r="H27" s="287">
        <f>+F27/F29*G27*100</f>
        <v>1.5906572045614544</v>
      </c>
    </row>
    <row r="28" spans="2:9" ht="15" thickBot="1">
      <c r="B28" s="283" t="s">
        <v>490</v>
      </c>
      <c r="C28" s="286">
        <v>36964</v>
      </c>
      <c r="D28" s="285">
        <v>406250</v>
      </c>
      <c r="E28" s="286">
        <v>42945</v>
      </c>
      <c r="F28" s="285">
        <v>1369375</v>
      </c>
      <c r="G28" s="287">
        <f>+(F28/D28)^(365/(E28-C28))-1</f>
        <v>7.6974696112466434E-2</v>
      </c>
      <c r="H28" s="287">
        <f>+F28/F29*G28*100</f>
        <v>5.6996133552691433</v>
      </c>
    </row>
    <row r="29" spans="2:9" ht="28.2" thickBot="1">
      <c r="B29" s="294" t="s">
        <v>491</v>
      </c>
      <c r="C29" s="295"/>
      <c r="D29" s="295">
        <v>602750</v>
      </c>
      <c r="E29" s="295"/>
      <c r="F29" s="295">
        <v>1849375</v>
      </c>
      <c r="G29" s="295"/>
      <c r="H29" s="306">
        <f>SUM(H26:H28)</f>
        <v>8.2120543944757269</v>
      </c>
    </row>
    <row r="30" spans="2:9" ht="15" thickBot="1">
      <c r="B30" s="291" t="s">
        <v>372</v>
      </c>
      <c r="C30" s="292"/>
      <c r="D30" s="292"/>
      <c r="E30" s="292"/>
      <c r="F30" s="292"/>
      <c r="G30" s="292"/>
      <c r="H30" s="292"/>
      <c r="I30" s="298"/>
    </row>
    <row r="31" spans="2:9" ht="15" thickBot="1">
      <c r="B31" s="283" t="s">
        <v>492</v>
      </c>
      <c r="C31" s="307">
        <v>40547</v>
      </c>
      <c r="D31" s="285">
        <v>12675000</v>
      </c>
      <c r="E31" s="286">
        <v>42945</v>
      </c>
      <c r="F31" s="285">
        <v>25993500</v>
      </c>
      <c r="G31" s="287">
        <f>+(F31/D31)^(365/(E31-C31))-1</f>
        <v>0.11551884045319549</v>
      </c>
      <c r="H31" s="287">
        <f>+(F31/F32)*G31*100</f>
        <v>11.55188404531955</v>
      </c>
    </row>
    <row r="32" spans="2:9" ht="15" thickBot="1">
      <c r="B32" s="294" t="s">
        <v>493</v>
      </c>
      <c r="C32" s="295"/>
      <c r="D32" s="295">
        <v>12675000</v>
      </c>
      <c r="E32" s="295"/>
      <c r="F32" s="295">
        <v>25993500</v>
      </c>
      <c r="G32" s="295"/>
      <c r="H32" s="306">
        <f>SUM(H31)</f>
        <v>11.55188404531955</v>
      </c>
    </row>
    <row r="33" spans="2:16" ht="15" thickBot="1">
      <c r="B33" s="291" t="s">
        <v>373</v>
      </c>
      <c r="C33" s="292"/>
      <c r="D33" s="292"/>
      <c r="E33" s="292"/>
      <c r="F33" s="292"/>
      <c r="G33" s="292"/>
      <c r="H33" s="292"/>
      <c r="I33" s="298"/>
    </row>
    <row r="34" spans="2:16" ht="15" thickBot="1">
      <c r="B34" s="283" t="s">
        <v>494</v>
      </c>
      <c r="C34" s="307">
        <v>40818</v>
      </c>
      <c r="D34" s="285">
        <v>1000000</v>
      </c>
      <c r="E34" s="286">
        <v>42945</v>
      </c>
      <c r="F34" s="285">
        <v>1500000</v>
      </c>
      <c r="G34" s="287">
        <f>+(F34/D34)^(365/(E34-C34))-1</f>
        <v>7.2056867003672309E-2</v>
      </c>
      <c r="H34" s="287">
        <f>+(F34/F35)*G34*100</f>
        <v>7.2056867003672309</v>
      </c>
    </row>
    <row r="35" spans="2:16" ht="28.2" thickBot="1">
      <c r="B35" s="294" t="s">
        <v>495</v>
      </c>
      <c r="C35" s="295"/>
      <c r="D35" s="295">
        <v>1000000</v>
      </c>
      <c r="E35" s="295"/>
      <c r="F35" s="295">
        <v>1500000</v>
      </c>
      <c r="G35" s="295"/>
      <c r="H35" s="306">
        <f>SUM(H34)</f>
        <v>7.2056867003672309</v>
      </c>
    </row>
    <row r="36" spans="2:16" ht="15" thickBot="1">
      <c r="B36" s="280"/>
      <c r="C36" s="281"/>
      <c r="D36" s="281"/>
      <c r="E36" s="281"/>
      <c r="F36" s="281"/>
      <c r="G36" s="281"/>
      <c r="H36" s="281"/>
      <c r="I36" s="282"/>
      <c r="K36" t="s">
        <v>491</v>
      </c>
      <c r="M36">
        <v>1849375</v>
      </c>
      <c r="O36" s="308">
        <v>8.2120543944757269</v>
      </c>
      <c r="P36" s="308">
        <f>+M36/M43*O36</f>
        <v>0.39735182203125058</v>
      </c>
    </row>
    <row r="37" spans="2:16" ht="15" thickBot="1">
      <c r="B37" s="291" t="s">
        <v>374</v>
      </c>
      <c r="C37" s="292"/>
      <c r="D37" s="292"/>
      <c r="E37" s="292"/>
      <c r="F37" s="292"/>
      <c r="G37" s="292"/>
      <c r="H37" s="292"/>
      <c r="I37" s="298"/>
      <c r="K37" t="s">
        <v>493</v>
      </c>
      <c r="M37">
        <v>25993500</v>
      </c>
      <c r="O37" s="308">
        <v>11.52</v>
      </c>
      <c r="P37" s="308">
        <f>+M37/M43*O37</f>
        <v>7.8345787232973745</v>
      </c>
    </row>
    <row r="38" spans="2:16" ht="15" thickBot="1">
      <c r="B38" s="283" t="s">
        <v>496</v>
      </c>
      <c r="C38" s="307">
        <v>41040</v>
      </c>
      <c r="D38" s="285">
        <v>2500000</v>
      </c>
      <c r="E38" s="286">
        <v>42945</v>
      </c>
      <c r="F38" s="285">
        <v>3900000</v>
      </c>
      <c r="G38" s="287">
        <f>+(F38/D38)^(365/(E38-C38))-1</f>
        <v>8.8937304007014273E-2</v>
      </c>
      <c r="H38" s="287">
        <f>+(F38/F39)*G38*100</f>
        <v>8.8937304007014273</v>
      </c>
      <c r="K38" t="s">
        <v>495</v>
      </c>
      <c r="M38">
        <v>1500000</v>
      </c>
      <c r="O38" s="308">
        <v>7.2056867003672309</v>
      </c>
      <c r="P38" s="308">
        <f>+M38/M43*O38</f>
        <v>0.2827906481300011</v>
      </c>
    </row>
    <row r="39" spans="2:16" ht="15" thickBot="1">
      <c r="B39" s="294" t="s">
        <v>497</v>
      </c>
      <c r="C39" s="295"/>
      <c r="D39" s="295">
        <v>2500000</v>
      </c>
      <c r="E39" s="295"/>
      <c r="F39" s="295">
        <v>3900000</v>
      </c>
      <c r="G39" s="295"/>
      <c r="H39" s="306">
        <f>SUM(H38)</f>
        <v>8.8937304007014273</v>
      </c>
      <c r="K39" t="s">
        <v>497</v>
      </c>
      <c r="M39">
        <v>3900000</v>
      </c>
      <c r="O39" s="308">
        <v>8.8937304007014273</v>
      </c>
      <c r="P39" s="308">
        <f>+M39/M43*O39</f>
        <v>0.90750071590916526</v>
      </c>
    </row>
    <row r="40" spans="2:16" ht="15" thickBot="1">
      <c r="B40" s="288" t="s">
        <v>375</v>
      </c>
      <c r="C40" s="289"/>
      <c r="D40" s="289">
        <v>16777750</v>
      </c>
      <c r="E40" s="289"/>
      <c r="F40" s="289">
        <v>33242875</v>
      </c>
      <c r="G40" s="289"/>
      <c r="H40" s="289"/>
      <c r="K40" t="s">
        <v>498</v>
      </c>
      <c r="M40">
        <v>3870085</v>
      </c>
      <c r="O40" s="308">
        <v>18.652758678123178</v>
      </c>
      <c r="P40" s="308">
        <f>+M40/M43*O40</f>
        <v>1.8886956677389666</v>
      </c>
    </row>
    <row r="41" spans="2:16" ht="15" thickBot="1">
      <c r="B41" s="280" t="s">
        <v>499</v>
      </c>
      <c r="C41" s="281"/>
      <c r="D41" s="281"/>
      <c r="E41" s="281"/>
      <c r="F41" s="281"/>
      <c r="G41" s="281"/>
      <c r="H41" s="281"/>
      <c r="I41" s="282"/>
      <c r="K41" t="s">
        <v>500</v>
      </c>
      <c r="M41">
        <v>1108000</v>
      </c>
      <c r="O41">
        <v>18.300869005997409</v>
      </c>
      <c r="P41" s="308">
        <f>+M41/M43*O41</f>
        <v>0.53052992019680112</v>
      </c>
    </row>
    <row r="42" spans="2:16" ht="15" thickBot="1">
      <c r="B42" s="291" t="s">
        <v>501</v>
      </c>
      <c r="C42" s="292"/>
      <c r="D42" s="292"/>
      <c r="E42" s="292"/>
      <c r="F42" s="292"/>
      <c r="G42" s="292"/>
      <c r="H42" s="292"/>
      <c r="I42" s="298"/>
      <c r="P42" s="308"/>
    </row>
    <row r="43" spans="2:16" ht="15" thickBot="1">
      <c r="B43" s="283" t="s">
        <v>502</v>
      </c>
      <c r="C43" s="284">
        <v>40999</v>
      </c>
      <c r="D43" s="285">
        <v>12250</v>
      </c>
      <c r="E43" s="286">
        <v>42945</v>
      </c>
      <c r="F43" s="285">
        <v>36900</v>
      </c>
      <c r="G43" s="287">
        <f t="shared" ref="G43:G48" si="0">+(F43/D43)^(365/(E43-C43))-1</f>
        <v>0.22976658477889722</v>
      </c>
      <c r="H43" s="287">
        <f>+F43/F49*G43*100</f>
        <v>0.21907495515838304</v>
      </c>
      <c r="M43">
        <f>SUM(M36:M42)</f>
        <v>38220960</v>
      </c>
      <c r="P43" s="308">
        <f>SUM(P36:P42)</f>
        <v>11.841447497303561</v>
      </c>
    </row>
    <row r="44" spans="2:16" ht="28.2" thickBot="1">
      <c r="B44" s="283" t="s">
        <v>503</v>
      </c>
      <c r="C44" s="307">
        <v>40248</v>
      </c>
      <c r="D44" s="285">
        <v>120250</v>
      </c>
      <c r="E44" s="286">
        <v>42945</v>
      </c>
      <c r="F44" s="285">
        <v>515125</v>
      </c>
      <c r="G44" s="287">
        <f t="shared" si="0"/>
        <v>0.21761147702067252</v>
      </c>
      <c r="H44" s="287">
        <f>+F44/F49*G44*100</f>
        <v>2.8965025858675957</v>
      </c>
    </row>
    <row r="45" spans="2:16" ht="15" thickBot="1">
      <c r="B45" s="283" t="s">
        <v>504</v>
      </c>
      <c r="C45" s="307">
        <v>40485</v>
      </c>
      <c r="D45" s="285">
        <v>357500</v>
      </c>
      <c r="E45" s="286">
        <v>42945</v>
      </c>
      <c r="F45" s="285">
        <v>1076250</v>
      </c>
      <c r="G45" s="287">
        <f t="shared" si="0"/>
        <v>0.17765287324665735</v>
      </c>
      <c r="H45" s="287">
        <f>+F45/F49*G45*100</f>
        <v>4.9404316657570817</v>
      </c>
    </row>
    <row r="46" spans="2:16" ht="28.2" thickBot="1">
      <c r="B46" s="283" t="s">
        <v>505</v>
      </c>
      <c r="C46" s="307">
        <v>40970</v>
      </c>
      <c r="D46" s="285">
        <v>59250</v>
      </c>
      <c r="E46" s="286">
        <v>42945</v>
      </c>
      <c r="F46" s="285">
        <v>128400</v>
      </c>
      <c r="G46" s="287">
        <f t="shared" si="0"/>
        <v>0.15364824496642981</v>
      </c>
      <c r="H46" s="287">
        <f>+F46/F49*G46*100</f>
        <v>0.50976747677866474</v>
      </c>
    </row>
    <row r="47" spans="2:16" ht="28.2" thickBot="1">
      <c r="B47" s="283" t="s">
        <v>506</v>
      </c>
      <c r="C47" s="307">
        <v>40633</v>
      </c>
      <c r="D47" s="285">
        <v>232200</v>
      </c>
      <c r="E47" s="286">
        <v>42945</v>
      </c>
      <c r="F47" s="285">
        <v>875910</v>
      </c>
      <c r="G47" s="287">
        <f>+(F47/D47)^(365/(E47-C47))-1</f>
        <v>0.23318589338798557</v>
      </c>
      <c r="H47" s="287">
        <f>+F47/F49*G47*100</f>
        <v>5.2776581361254449</v>
      </c>
    </row>
    <row r="48" spans="2:16" ht="28.2" thickBot="1">
      <c r="B48" s="283" t="s">
        <v>507</v>
      </c>
      <c r="C48" s="286">
        <v>38540</v>
      </c>
      <c r="D48" s="285">
        <v>228125</v>
      </c>
      <c r="E48" s="286">
        <v>42945</v>
      </c>
      <c r="F48" s="285">
        <v>1237500</v>
      </c>
      <c r="G48" s="287">
        <f t="shared" si="0"/>
        <v>0.15040397676505313</v>
      </c>
      <c r="H48" s="287">
        <f>+F48/F49*G48*100</f>
        <v>4.8093238584360094</v>
      </c>
    </row>
    <row r="49" spans="2:9" ht="28.2" thickBot="1">
      <c r="B49" s="294" t="s">
        <v>498</v>
      </c>
      <c r="C49" s="295"/>
      <c r="D49" s="295">
        <v>1009575</v>
      </c>
      <c r="E49" s="295"/>
      <c r="F49" s="295">
        <v>3870085</v>
      </c>
      <c r="G49" s="295"/>
      <c r="H49" s="306">
        <f>SUM(H43:H48)</f>
        <v>18.652758678123178</v>
      </c>
    </row>
    <row r="50" spans="2:9" ht="15" thickBot="1">
      <c r="B50" s="291" t="s">
        <v>508</v>
      </c>
      <c r="C50" s="292"/>
      <c r="D50" s="292"/>
      <c r="E50" s="292"/>
      <c r="F50" s="292"/>
      <c r="G50" s="292"/>
      <c r="H50" s="292"/>
      <c r="I50" s="298"/>
    </row>
    <row r="51" spans="2:9" ht="28.2" thickBot="1">
      <c r="B51" s="283" t="s">
        <v>509</v>
      </c>
      <c r="C51" s="286">
        <v>40225</v>
      </c>
      <c r="D51" s="285">
        <v>181500</v>
      </c>
      <c r="E51" s="286">
        <v>42945</v>
      </c>
      <c r="F51" s="285">
        <v>725000</v>
      </c>
      <c r="G51" s="287">
        <f>+(F51/D51)^(365/(E51-C51))-1</f>
        <v>0.20423379208307679</v>
      </c>
      <c r="H51" s="293">
        <f>+F51/F54*G51*100</f>
        <v>13.363673218432371</v>
      </c>
    </row>
    <row r="52" spans="2:9" ht="28.2" thickBot="1">
      <c r="B52" s="283" t="s">
        <v>510</v>
      </c>
      <c r="C52" s="286">
        <v>41800</v>
      </c>
      <c r="D52" s="285">
        <v>42350</v>
      </c>
      <c r="E52" s="286">
        <v>42945</v>
      </c>
      <c r="F52" s="285">
        <v>63500</v>
      </c>
      <c r="G52" s="287">
        <f>+(F52/D52)^(365/(E52-C52))-1</f>
        <v>0.13783529270285322</v>
      </c>
      <c r="H52" s="293">
        <f>+F52/F54*G52*100</f>
        <v>0.78994053128440245</v>
      </c>
    </row>
    <row r="53" spans="2:9" ht="15" thickBot="1">
      <c r="B53" s="283" t="s">
        <v>511</v>
      </c>
      <c r="C53" s="286">
        <v>40605</v>
      </c>
      <c r="D53" s="285">
        <v>135000</v>
      </c>
      <c r="E53" s="286">
        <v>42945</v>
      </c>
      <c r="F53" s="285">
        <v>319500</v>
      </c>
      <c r="G53" s="287">
        <f>+(F53/D53)^(365/(E53-C53))-1</f>
        <v>0.14382343736960701</v>
      </c>
      <c r="H53" s="293">
        <f>+F53/F54*G53*100</f>
        <v>4.1472552562806353</v>
      </c>
    </row>
    <row r="54" spans="2:9" ht="15" thickBot="1">
      <c r="B54" s="294" t="s">
        <v>500</v>
      </c>
      <c r="C54" s="295"/>
      <c r="D54" s="295">
        <v>358850</v>
      </c>
      <c r="E54" s="295"/>
      <c r="F54" s="295">
        <v>1108000</v>
      </c>
      <c r="G54" s="295"/>
      <c r="H54" s="296">
        <f>SUM(H51:H53)</f>
        <v>18.300869005997409</v>
      </c>
    </row>
    <row r="55" spans="2:9" ht="15" thickBot="1">
      <c r="B55" s="288" t="s">
        <v>512</v>
      </c>
      <c r="C55" s="289"/>
      <c r="D55" s="289">
        <v>1368425</v>
      </c>
      <c r="E55" s="289"/>
      <c r="F55" s="289">
        <v>4978085</v>
      </c>
      <c r="G55" s="289"/>
      <c r="H55" s="297">
        <f>+(F49/F55)*H49+(F54/F55)*H54</f>
        <v>18.574436641292678</v>
      </c>
    </row>
    <row r="56" spans="2:9" ht="18" thickBot="1">
      <c r="B56" s="309" t="s">
        <v>513</v>
      </c>
      <c r="C56" s="309"/>
      <c r="D56" s="309">
        <v>18146175</v>
      </c>
      <c r="E56" s="309"/>
      <c r="F56" s="309">
        <v>38220960</v>
      </c>
      <c r="G56" s="309"/>
      <c r="H56" s="309">
        <f>+(F40/F56)*H40+(F55/F56)*H55</f>
        <v>2.419225587935768</v>
      </c>
    </row>
    <row r="57" spans="2:9" ht="18" thickBot="1">
      <c r="B57" s="303" t="s">
        <v>514</v>
      </c>
      <c r="C57" s="304"/>
      <c r="D57" s="304"/>
      <c r="E57" s="304"/>
      <c r="F57" s="304"/>
      <c r="G57" s="304"/>
      <c r="H57" s="304"/>
      <c r="I57" s="305"/>
    </row>
    <row r="58" spans="2:9" ht="15" thickBot="1">
      <c r="B58" s="291" t="s">
        <v>398</v>
      </c>
      <c r="C58" s="292"/>
      <c r="D58" s="292"/>
      <c r="E58" s="292"/>
      <c r="F58" s="292"/>
      <c r="G58" s="292"/>
      <c r="H58" s="292"/>
      <c r="I58" s="298"/>
    </row>
    <row r="59" spans="2:9" ht="28.2" thickBot="1">
      <c r="B59" s="283" t="s">
        <v>515</v>
      </c>
      <c r="C59" s="285" t="s">
        <v>516</v>
      </c>
      <c r="D59" s="285">
        <v>102000</v>
      </c>
      <c r="E59" s="285" t="s">
        <v>517</v>
      </c>
      <c r="F59" s="285">
        <v>1176703</v>
      </c>
      <c r="G59" s="285">
        <v>9</v>
      </c>
      <c r="H59" s="285">
        <v>9</v>
      </c>
    </row>
    <row r="60" spans="2:9" ht="15" thickBot="1">
      <c r="B60" s="294" t="s">
        <v>518</v>
      </c>
      <c r="C60" s="295"/>
      <c r="D60" s="295">
        <v>102000</v>
      </c>
      <c r="E60" s="295"/>
      <c r="F60" s="295">
        <v>1176703</v>
      </c>
      <c r="G60" s="295"/>
      <c r="H60" s="295">
        <v>9</v>
      </c>
    </row>
    <row r="61" spans="2:9" ht="15" thickBot="1">
      <c r="B61" s="291" t="s">
        <v>519</v>
      </c>
      <c r="C61" s="292"/>
      <c r="D61" s="292"/>
      <c r="E61" s="292"/>
      <c r="F61" s="292"/>
      <c r="G61" s="292"/>
      <c r="H61" s="292"/>
      <c r="I61" s="298"/>
    </row>
    <row r="62" spans="2:9" ht="15" thickBot="1">
      <c r="B62" s="283" t="s">
        <v>403</v>
      </c>
      <c r="C62" s="285" t="s">
        <v>520</v>
      </c>
      <c r="D62" s="285">
        <v>150000</v>
      </c>
      <c r="E62" s="307">
        <v>7</v>
      </c>
      <c r="F62" s="285">
        <v>150000</v>
      </c>
      <c r="G62" s="285">
        <v>8</v>
      </c>
      <c r="H62" s="285" t="s">
        <v>521</v>
      </c>
    </row>
    <row r="63" spans="2:9" ht="28.2" thickBot="1">
      <c r="B63" s="283" t="s">
        <v>522</v>
      </c>
      <c r="C63" s="285" t="s">
        <v>523</v>
      </c>
      <c r="D63" s="285">
        <v>235000</v>
      </c>
      <c r="E63" s="307">
        <v>2</v>
      </c>
      <c r="F63" s="285">
        <v>235000</v>
      </c>
      <c r="G63" s="285">
        <v>12</v>
      </c>
      <c r="H63" s="285" t="s">
        <v>521</v>
      </c>
    </row>
    <row r="64" spans="2:9" ht="15" thickBot="1">
      <c r="B64" s="294" t="s">
        <v>524</v>
      </c>
      <c r="C64" s="295"/>
      <c r="D64" s="295">
        <v>385000</v>
      </c>
      <c r="E64" s="295"/>
      <c r="F64" s="295">
        <v>0</v>
      </c>
      <c r="G64" s="295"/>
      <c r="H64" s="295" t="s">
        <v>521</v>
      </c>
    </row>
    <row r="65" spans="2:9" ht="15" thickBot="1">
      <c r="B65" s="291" t="s">
        <v>408</v>
      </c>
      <c r="C65" s="292"/>
      <c r="D65" s="292"/>
      <c r="E65" s="292"/>
      <c r="F65" s="292"/>
      <c r="G65" s="292"/>
      <c r="H65" s="292"/>
      <c r="I65" s="298"/>
    </row>
    <row r="66" spans="2:9" ht="15" thickBot="1">
      <c r="B66" s="283" t="s">
        <v>525</v>
      </c>
      <c r="C66" s="285" t="s">
        <v>526</v>
      </c>
      <c r="D66" s="285">
        <v>5000</v>
      </c>
      <c r="E66" s="307">
        <v>3</v>
      </c>
      <c r="F66" s="285">
        <v>5000</v>
      </c>
      <c r="G66" s="285">
        <v>8.25</v>
      </c>
      <c r="H66" s="285" t="s">
        <v>521</v>
      </c>
    </row>
    <row r="67" spans="2:9" ht="15" thickBot="1">
      <c r="B67" s="294" t="s">
        <v>527</v>
      </c>
      <c r="C67" s="295"/>
      <c r="D67" s="295">
        <v>5000</v>
      </c>
      <c r="E67" s="295"/>
      <c r="F67" s="295">
        <v>0</v>
      </c>
      <c r="G67" s="295"/>
      <c r="H67" s="295" t="s">
        <v>521</v>
      </c>
    </row>
    <row r="68" spans="2:9" ht="15" thickBot="1">
      <c r="B68" s="291" t="s">
        <v>412</v>
      </c>
      <c r="C68" s="292"/>
      <c r="D68" s="292"/>
      <c r="E68" s="292"/>
      <c r="F68" s="292"/>
      <c r="G68" s="292"/>
      <c r="H68" s="292"/>
      <c r="I68" s="298"/>
    </row>
    <row r="69" spans="2:9" ht="28.2" thickBot="1">
      <c r="B69" s="283" t="s">
        <v>528</v>
      </c>
      <c r="C69" s="285" t="s">
        <v>529</v>
      </c>
      <c r="D69" s="285">
        <v>106750</v>
      </c>
      <c r="E69" s="285" t="s">
        <v>530</v>
      </c>
      <c r="F69" s="285">
        <v>140600</v>
      </c>
      <c r="G69" s="285">
        <v>0.09</v>
      </c>
      <c r="H69" s="285">
        <v>0.04</v>
      </c>
    </row>
    <row r="70" spans="2:9" ht="28.2" thickBot="1">
      <c r="B70" s="283" t="s">
        <v>531</v>
      </c>
      <c r="C70" s="285" t="s">
        <v>532</v>
      </c>
      <c r="D70" s="285">
        <v>109500</v>
      </c>
      <c r="E70" s="285" t="s">
        <v>530</v>
      </c>
      <c r="F70" s="285">
        <v>143100</v>
      </c>
      <c r="G70" s="285">
        <v>0.05</v>
      </c>
      <c r="H70" s="285">
        <v>0.02</v>
      </c>
    </row>
    <row r="71" spans="2:9" ht="28.2" thickBot="1">
      <c r="B71" s="294" t="s">
        <v>533</v>
      </c>
      <c r="C71" s="295"/>
      <c r="D71" s="295">
        <v>216250</v>
      </c>
      <c r="E71" s="295"/>
      <c r="F71" s="295">
        <v>283700</v>
      </c>
      <c r="G71" s="295"/>
      <c r="H71" s="295">
        <v>0.06</v>
      </c>
    </row>
    <row r="72" spans="2:9" ht="15" thickBot="1">
      <c r="B72" s="291" t="s">
        <v>414</v>
      </c>
      <c r="C72" s="292"/>
      <c r="D72" s="292"/>
      <c r="E72" s="292"/>
      <c r="F72" s="292"/>
      <c r="G72" s="292"/>
      <c r="H72" s="292"/>
      <c r="I72" s="298"/>
    </row>
    <row r="73" spans="2:9" ht="42" thickBot="1">
      <c r="B73" s="283" t="s">
        <v>534</v>
      </c>
      <c r="C73" s="285" t="s">
        <v>535</v>
      </c>
      <c r="D73" s="285">
        <v>82125</v>
      </c>
      <c r="E73" s="285" t="s">
        <v>530</v>
      </c>
      <c r="F73" s="285">
        <v>95625</v>
      </c>
      <c r="G73" s="285">
        <v>0.03</v>
      </c>
      <c r="H73" s="285">
        <v>0.03</v>
      </c>
    </row>
    <row r="74" spans="2:9" ht="28.2" thickBot="1">
      <c r="B74" s="294" t="s">
        <v>536</v>
      </c>
      <c r="C74" s="295"/>
      <c r="D74" s="295">
        <v>82125</v>
      </c>
      <c r="E74" s="295"/>
      <c r="F74" s="295">
        <v>95625</v>
      </c>
      <c r="G74" s="295"/>
      <c r="H74" s="295">
        <v>0.03</v>
      </c>
    </row>
    <row r="75" spans="2:9" ht="15" thickBot="1">
      <c r="B75" s="291" t="s">
        <v>376</v>
      </c>
      <c r="C75" s="292"/>
      <c r="D75" s="292"/>
      <c r="E75" s="292"/>
      <c r="F75" s="292"/>
      <c r="G75" s="292"/>
      <c r="H75" s="292"/>
      <c r="I75" s="298"/>
    </row>
    <row r="76" spans="2:9" ht="28.2" thickBot="1">
      <c r="B76" s="283" t="s">
        <v>537</v>
      </c>
      <c r="C76" s="285" t="s">
        <v>538</v>
      </c>
      <c r="D76" s="285">
        <v>229500</v>
      </c>
      <c r="E76" s="285" t="s">
        <v>530</v>
      </c>
      <c r="F76" s="285">
        <v>167250</v>
      </c>
      <c r="G76" s="285">
        <v>-0.06</v>
      </c>
      <c r="H76" s="285">
        <v>-0.06</v>
      </c>
    </row>
    <row r="77" spans="2:9" ht="15" thickBot="1">
      <c r="B77" s="294" t="s">
        <v>539</v>
      </c>
      <c r="C77" s="295"/>
      <c r="D77" s="295">
        <v>229500</v>
      </c>
      <c r="E77" s="295"/>
      <c r="F77" s="295">
        <v>167250</v>
      </c>
      <c r="G77" s="295"/>
      <c r="H77" s="295">
        <v>-0.06</v>
      </c>
    </row>
    <row r="78" spans="2:9" ht="15" thickBot="1">
      <c r="B78" s="291" t="s">
        <v>416</v>
      </c>
      <c r="C78" s="292"/>
      <c r="D78" s="292"/>
      <c r="E78" s="292"/>
      <c r="F78" s="292"/>
      <c r="G78" s="292"/>
      <c r="H78" s="292"/>
      <c r="I78" s="298"/>
    </row>
    <row r="79" spans="2:9" ht="28.2" thickBot="1">
      <c r="B79" s="283" t="s">
        <v>540</v>
      </c>
      <c r="C79" s="285" t="s">
        <v>541</v>
      </c>
      <c r="D79" s="285">
        <v>15000</v>
      </c>
      <c r="E79" s="285" t="s">
        <v>530</v>
      </c>
      <c r="F79" s="285">
        <v>15000</v>
      </c>
      <c r="G79" s="285">
        <v>9.5</v>
      </c>
      <c r="H79" s="285">
        <v>0</v>
      </c>
    </row>
    <row r="80" spans="2:9" ht="28.2" thickBot="1">
      <c r="B80" s="283" t="s">
        <v>542</v>
      </c>
      <c r="C80" s="285" t="s">
        <v>520</v>
      </c>
      <c r="D80" s="285">
        <v>6000000</v>
      </c>
      <c r="E80" s="285" t="s">
        <v>530</v>
      </c>
      <c r="F80" s="285">
        <v>6000000</v>
      </c>
      <c r="G80" s="285">
        <v>8.25</v>
      </c>
      <c r="H80" s="285">
        <v>8.17</v>
      </c>
    </row>
    <row r="81" spans="2:9" ht="28.2" thickBot="1">
      <c r="B81" s="283" t="s">
        <v>543</v>
      </c>
      <c r="C81" s="285" t="s">
        <v>544</v>
      </c>
      <c r="D81" s="285">
        <v>36000</v>
      </c>
      <c r="E81" s="285" t="s">
        <v>530</v>
      </c>
      <c r="F81" s="285">
        <v>36000</v>
      </c>
      <c r="G81" s="285">
        <v>9.75</v>
      </c>
      <c r="H81" s="285">
        <v>0.1</v>
      </c>
    </row>
    <row r="82" spans="2:9" ht="28.2" thickBot="1">
      <c r="B82" s="283" t="s">
        <v>543</v>
      </c>
      <c r="C82" s="285" t="s">
        <v>545</v>
      </c>
      <c r="D82" s="285">
        <v>40000</v>
      </c>
      <c r="E82" s="285" t="s">
        <v>530</v>
      </c>
      <c r="F82" s="285">
        <v>40000</v>
      </c>
      <c r="G82" s="285">
        <v>9.75</v>
      </c>
      <c r="H82" s="285">
        <v>0.1</v>
      </c>
    </row>
    <row r="83" spans="2:9" ht="15" thickBot="1">
      <c r="B83" s="294" t="s">
        <v>546</v>
      </c>
      <c r="C83" s="295"/>
      <c r="D83" s="295">
        <v>6091000</v>
      </c>
      <c r="E83" s="295"/>
      <c r="F83" s="295">
        <v>6091000</v>
      </c>
      <c r="G83" s="295"/>
      <c r="H83" s="295">
        <v>8.3699999999999992</v>
      </c>
    </row>
    <row r="84" spans="2:9" ht="15" thickBot="1">
      <c r="B84" s="291" t="s">
        <v>423</v>
      </c>
      <c r="C84" s="292"/>
      <c r="D84" s="292"/>
      <c r="E84" s="292"/>
      <c r="F84" s="292"/>
      <c r="G84" s="292"/>
      <c r="H84" s="292"/>
      <c r="I84" s="298"/>
    </row>
    <row r="85" spans="2:9" ht="28.2" thickBot="1">
      <c r="B85" s="283" t="s">
        <v>547</v>
      </c>
      <c r="C85" s="285" t="s">
        <v>548</v>
      </c>
      <c r="D85" s="285">
        <v>500000</v>
      </c>
      <c r="E85" s="285" t="s">
        <v>530</v>
      </c>
      <c r="F85" s="285">
        <v>850000</v>
      </c>
      <c r="G85" s="285">
        <v>0.11</v>
      </c>
      <c r="H85" s="285">
        <v>0.11</v>
      </c>
    </row>
    <row r="86" spans="2:9" ht="28.2" thickBot="1">
      <c r="B86" s="294" t="s">
        <v>549</v>
      </c>
      <c r="C86" s="295"/>
      <c r="D86" s="295">
        <v>500000</v>
      </c>
      <c r="E86" s="295"/>
      <c r="F86" s="295">
        <v>850000</v>
      </c>
      <c r="G86" s="295"/>
      <c r="H86" s="295">
        <v>0.11</v>
      </c>
    </row>
    <row r="87" spans="2:9" ht="15" thickBot="1">
      <c r="B87" s="291" t="s">
        <v>425</v>
      </c>
      <c r="C87" s="292"/>
      <c r="D87" s="292"/>
      <c r="E87" s="292"/>
      <c r="F87" s="292"/>
      <c r="G87" s="292"/>
      <c r="H87" s="292"/>
      <c r="I87" s="298"/>
    </row>
    <row r="88" spans="2:9" ht="28.2" thickBot="1">
      <c r="B88" s="283" t="s">
        <v>550</v>
      </c>
      <c r="C88" s="285"/>
      <c r="D88" s="285">
        <v>236000</v>
      </c>
      <c r="E88" s="285" t="s">
        <v>530</v>
      </c>
      <c r="F88" s="285">
        <v>236000</v>
      </c>
      <c r="G88" s="285">
        <v>8.5</v>
      </c>
      <c r="H88" s="285">
        <v>4.76</v>
      </c>
    </row>
    <row r="89" spans="2:9" ht="28.2" thickBot="1">
      <c r="B89" s="283" t="s">
        <v>551</v>
      </c>
      <c r="C89" s="285"/>
      <c r="D89" s="285">
        <v>185635</v>
      </c>
      <c r="E89" s="285" t="s">
        <v>530</v>
      </c>
      <c r="F89" s="285">
        <v>185635</v>
      </c>
      <c r="G89" s="285">
        <v>8.5</v>
      </c>
      <c r="H89" s="285">
        <v>3.74</v>
      </c>
    </row>
    <row r="90" spans="2:9" ht="28.2" thickBot="1">
      <c r="B90" s="294" t="s">
        <v>552</v>
      </c>
      <c r="C90" s="295"/>
      <c r="D90" s="295">
        <v>421635</v>
      </c>
      <c r="E90" s="295"/>
      <c r="F90" s="295">
        <v>421635</v>
      </c>
      <c r="G90" s="295"/>
      <c r="H90" s="295">
        <v>8.5</v>
      </c>
    </row>
    <row r="91" spans="2:9" ht="15" thickBot="1">
      <c r="B91" s="291" t="s">
        <v>431</v>
      </c>
      <c r="C91" s="292"/>
      <c r="D91" s="292"/>
      <c r="E91" s="292"/>
      <c r="F91" s="292"/>
      <c r="G91" s="292"/>
      <c r="H91" s="292"/>
      <c r="I91" s="298"/>
    </row>
    <row r="92" spans="2:9" ht="28.2" thickBot="1">
      <c r="B92" s="283" t="s">
        <v>553</v>
      </c>
      <c r="C92" s="285" t="s">
        <v>554</v>
      </c>
      <c r="D92" s="285">
        <v>233333</v>
      </c>
      <c r="E92" s="285" t="s">
        <v>530</v>
      </c>
      <c r="F92" s="285">
        <v>233333</v>
      </c>
      <c r="G92" s="285">
        <v>4</v>
      </c>
      <c r="H92" s="285">
        <v>3.24</v>
      </c>
    </row>
    <row r="93" spans="2:9" ht="28.2" thickBot="1">
      <c r="B93" s="283" t="s">
        <v>555</v>
      </c>
      <c r="C93" s="285" t="s">
        <v>556</v>
      </c>
      <c r="D93" s="285">
        <v>55000</v>
      </c>
      <c r="E93" s="285" t="s">
        <v>530</v>
      </c>
      <c r="F93" s="285">
        <v>55000</v>
      </c>
      <c r="G93" s="285">
        <v>4</v>
      </c>
      <c r="H93" s="285">
        <v>0.76</v>
      </c>
    </row>
    <row r="94" spans="2:9" ht="15" thickBot="1">
      <c r="B94" s="294" t="s">
        <v>557</v>
      </c>
      <c r="C94" s="295"/>
      <c r="D94" s="295">
        <v>288333</v>
      </c>
      <c r="E94" s="295"/>
      <c r="F94" s="295">
        <v>288333</v>
      </c>
      <c r="G94" s="295"/>
      <c r="H94" s="295">
        <v>4</v>
      </c>
    </row>
    <row r="95" spans="2:9" ht="15" thickBot="1">
      <c r="B95" s="288"/>
      <c r="C95" s="289"/>
      <c r="D95" s="289"/>
      <c r="E95" s="289"/>
      <c r="F95" s="289"/>
      <c r="G95" s="289"/>
      <c r="H95" s="289"/>
    </row>
    <row r="96" spans="2:9" ht="18" thickBot="1">
      <c r="B96" s="309" t="s">
        <v>558</v>
      </c>
      <c r="C96" s="309"/>
      <c r="D96" s="309">
        <v>8320843</v>
      </c>
      <c r="E96" s="309"/>
      <c r="F96" s="309">
        <v>9374246</v>
      </c>
      <c r="G96" s="309"/>
      <c r="H96" s="309" t="s">
        <v>521</v>
      </c>
    </row>
    <row r="97" spans="2:12" ht="46.2" thickBot="1">
      <c r="B97" s="299" t="s">
        <v>559</v>
      </c>
      <c r="C97" s="299"/>
      <c r="D97" s="299">
        <v>26467018</v>
      </c>
      <c r="E97" s="299"/>
      <c r="F97" s="299">
        <v>47595206</v>
      </c>
      <c r="G97" s="299"/>
      <c r="H97" s="299" t="s">
        <v>521</v>
      </c>
    </row>
    <row r="98" spans="2:12" ht="23.4" thickBot="1">
      <c r="B98" s="300" t="s">
        <v>560</v>
      </c>
      <c r="C98" s="301"/>
      <c r="D98" s="301"/>
      <c r="E98" s="301"/>
      <c r="F98" s="301"/>
      <c r="G98" s="301"/>
      <c r="H98" s="301"/>
      <c r="I98" s="302"/>
    </row>
    <row r="99" spans="2:12" ht="18" thickBot="1">
      <c r="B99" s="303"/>
      <c r="C99" s="304"/>
      <c r="D99" s="304"/>
      <c r="E99" s="304"/>
      <c r="F99" s="304"/>
      <c r="G99" s="304"/>
      <c r="H99" s="304"/>
      <c r="I99" s="305"/>
    </row>
    <row r="100" spans="2:12" ht="15" thickBot="1">
      <c r="B100" s="280"/>
      <c r="C100" s="281"/>
      <c r="D100" s="281"/>
      <c r="E100" s="281"/>
      <c r="F100" s="281"/>
      <c r="G100" s="281"/>
      <c r="H100" s="281"/>
      <c r="I100" s="282"/>
    </row>
    <row r="101" spans="2:12" ht="28.2" thickBot="1">
      <c r="B101" s="283" t="s">
        <v>561</v>
      </c>
      <c r="C101" s="285" t="s">
        <v>562</v>
      </c>
      <c r="D101" s="285">
        <v>601250</v>
      </c>
      <c r="E101" s="285" t="s">
        <v>563</v>
      </c>
      <c r="F101" s="285">
        <v>1791400</v>
      </c>
      <c r="G101" s="285">
        <v>0.04</v>
      </c>
      <c r="H101" s="285">
        <v>0.04</v>
      </c>
    </row>
    <row r="102" spans="2:12" ht="28.2" thickBot="1">
      <c r="B102" s="283" t="s">
        <v>102</v>
      </c>
      <c r="C102" s="285" t="s">
        <v>564</v>
      </c>
      <c r="D102" s="285">
        <v>0</v>
      </c>
      <c r="E102" s="285" t="s">
        <v>530</v>
      </c>
      <c r="F102" s="285">
        <v>0</v>
      </c>
      <c r="G102" s="285"/>
      <c r="H102" s="285">
        <v>0</v>
      </c>
    </row>
    <row r="103" spans="2:12" ht="15" thickBot="1">
      <c r="B103" s="288"/>
      <c r="C103" s="289"/>
      <c r="D103" s="289"/>
      <c r="E103" s="289"/>
      <c r="F103" s="289"/>
      <c r="G103" s="289"/>
      <c r="H103" s="289"/>
    </row>
    <row r="104" spans="2:12" ht="18" thickBot="1">
      <c r="B104" s="309"/>
      <c r="C104" s="309"/>
      <c r="D104" s="309"/>
      <c r="E104" s="309"/>
      <c r="F104" s="309"/>
      <c r="G104" s="309"/>
      <c r="H104" s="309"/>
    </row>
    <row r="105" spans="2:12" ht="46.2" thickBot="1">
      <c r="B105" s="299" t="s">
        <v>565</v>
      </c>
      <c r="C105" s="299"/>
      <c r="D105" s="299">
        <v>601250</v>
      </c>
      <c r="E105" s="299"/>
      <c r="F105" s="299">
        <v>1791400</v>
      </c>
      <c r="G105" s="299"/>
      <c r="H105" s="299">
        <v>0.04</v>
      </c>
    </row>
    <row r="106" spans="2:12" ht="23.4" thickBot="1">
      <c r="B106" s="310" t="s">
        <v>566</v>
      </c>
      <c r="C106" s="310"/>
      <c r="D106" s="310">
        <v>39171008</v>
      </c>
      <c r="E106" s="310"/>
      <c r="F106" s="310">
        <v>64544856</v>
      </c>
      <c r="G106" s="310"/>
      <c r="H106" s="310" t="s">
        <v>521</v>
      </c>
    </row>
    <row r="107" spans="2:12" ht="15" thickBot="1"/>
    <row r="108" spans="2:12" ht="15" thickBot="1">
      <c r="B108" s="311" t="s">
        <v>567</v>
      </c>
      <c r="C108" s="312"/>
      <c r="D108" s="312"/>
      <c r="E108" s="312"/>
      <c r="F108" s="312"/>
      <c r="G108" s="313"/>
    </row>
    <row r="109" spans="2:12" ht="28.2" thickBot="1">
      <c r="B109" s="314" t="s">
        <v>103</v>
      </c>
      <c r="C109" s="314" t="s">
        <v>568</v>
      </c>
      <c r="D109" s="314" t="s">
        <v>343</v>
      </c>
      <c r="E109" s="314" t="s">
        <v>569</v>
      </c>
      <c r="F109" s="314" t="s">
        <v>570</v>
      </c>
      <c r="H109" s="315" t="s">
        <v>571</v>
      </c>
      <c r="I109" s="316"/>
      <c r="J109" s="316"/>
      <c r="K109" s="316"/>
      <c r="L109" s="316"/>
    </row>
    <row r="110" spans="2:12" ht="15" thickBot="1">
      <c r="B110" s="285" t="s">
        <v>341</v>
      </c>
      <c r="C110" s="285">
        <v>12102740</v>
      </c>
      <c r="D110" s="285">
        <v>15158250</v>
      </c>
      <c r="E110" s="285">
        <v>0.23</v>
      </c>
      <c r="F110" s="287">
        <f>+D110/D113*E110*100</f>
        <v>5.4015110049978272</v>
      </c>
    </row>
    <row r="111" spans="2:12" ht="15" thickBot="1">
      <c r="B111" s="285" t="s">
        <v>572</v>
      </c>
      <c r="C111" s="285">
        <v>26467018</v>
      </c>
      <c r="D111" s="285">
        <v>47595206</v>
      </c>
      <c r="E111" s="285">
        <v>0.74</v>
      </c>
      <c r="F111" s="287">
        <f>+D111/D113*E111*100</f>
        <v>54.567404163083111</v>
      </c>
    </row>
    <row r="112" spans="2:12" ht="15" thickBot="1">
      <c r="B112" s="285" t="s">
        <v>444</v>
      </c>
      <c r="C112" s="285">
        <v>601250</v>
      </c>
      <c r="D112" s="285">
        <v>1791400</v>
      </c>
      <c r="E112" s="285">
        <v>0.03</v>
      </c>
      <c r="F112" s="287">
        <f>+D112/D113*E112*100</f>
        <v>8.3263025639099722E-2</v>
      </c>
    </row>
    <row r="113" spans="2:6" ht="15" thickBot="1">
      <c r="B113" s="285" t="s">
        <v>103</v>
      </c>
      <c r="C113" s="285">
        <v>39171008</v>
      </c>
      <c r="D113" s="285">
        <v>64544856</v>
      </c>
      <c r="E113" s="285">
        <v>1</v>
      </c>
      <c r="F113" s="287">
        <f>SUM(F110:F112)</f>
        <v>60.052178193720039</v>
      </c>
    </row>
    <row r="116" spans="2:6">
      <c r="B116" s="317" t="s">
        <v>573</v>
      </c>
    </row>
    <row r="117" spans="2:6">
      <c r="B117" t="s">
        <v>574</v>
      </c>
    </row>
    <row r="118" spans="2:6">
      <c r="C118" t="s">
        <v>575</v>
      </c>
    </row>
    <row r="119" spans="2:6">
      <c r="C119" t="s">
        <v>576</v>
      </c>
    </row>
    <row r="121" spans="2:6">
      <c r="B121" t="s">
        <v>577</v>
      </c>
    </row>
    <row r="122" spans="2:6">
      <c r="B122" t="s">
        <v>578</v>
      </c>
    </row>
    <row r="123" spans="2:6">
      <c r="B123" t="s">
        <v>579</v>
      </c>
    </row>
    <row r="124" spans="2:6">
      <c r="B124" t="s">
        <v>580</v>
      </c>
    </row>
    <row r="125" spans="2:6">
      <c r="B125" t="s">
        <v>581</v>
      </c>
    </row>
    <row r="126" spans="2:6">
      <c r="B126" t="s">
        <v>582</v>
      </c>
    </row>
    <row r="127" spans="2:6">
      <c r="B127" t="s">
        <v>583</v>
      </c>
    </row>
    <row r="128" spans="2:6">
      <c r="C128" t="s">
        <v>584</v>
      </c>
      <c r="D128" t="s">
        <v>109</v>
      </c>
    </row>
    <row r="129" spans="2:11">
      <c r="C129" t="s">
        <v>585</v>
      </c>
      <c r="D129" t="s">
        <v>586</v>
      </c>
    </row>
    <row r="130" spans="2:11">
      <c r="D130" t="s">
        <v>587</v>
      </c>
    </row>
    <row r="131" spans="2:11">
      <c r="C131" t="s">
        <v>588</v>
      </c>
      <c r="D131" t="s">
        <v>589</v>
      </c>
    </row>
    <row r="132" spans="2:11">
      <c r="D132" t="s">
        <v>590</v>
      </c>
    </row>
    <row r="133" spans="2:11">
      <c r="B133" t="s">
        <v>591</v>
      </c>
      <c r="K133" s="318" t="s">
        <v>592</v>
      </c>
    </row>
    <row r="134" spans="2:11">
      <c r="B134" t="s">
        <v>593</v>
      </c>
      <c r="K134" t="s">
        <v>594</v>
      </c>
    </row>
    <row r="135" spans="2:11">
      <c r="B135" t="s">
        <v>595</v>
      </c>
    </row>
    <row r="136" spans="2:11">
      <c r="C136" t="s">
        <v>596</v>
      </c>
    </row>
    <row r="137" spans="2:11">
      <c r="C137" t="s">
        <v>597</v>
      </c>
    </row>
    <row r="138" spans="2:11">
      <c r="C138" t="s">
        <v>598</v>
      </c>
    </row>
  </sheetData>
  <mergeCells count="33">
    <mergeCell ref="B100:I100"/>
    <mergeCell ref="B108:G108"/>
    <mergeCell ref="H109:L109"/>
    <mergeCell ref="B78:I78"/>
    <mergeCell ref="B84:I84"/>
    <mergeCell ref="B87:I87"/>
    <mergeCell ref="B91:I91"/>
    <mergeCell ref="B98:I98"/>
    <mergeCell ref="B99:I99"/>
    <mergeCell ref="B58:I58"/>
    <mergeCell ref="B61:I61"/>
    <mergeCell ref="B65:I65"/>
    <mergeCell ref="B68:I68"/>
    <mergeCell ref="B72:I72"/>
    <mergeCell ref="B75:I75"/>
    <mergeCell ref="B36:I36"/>
    <mergeCell ref="B37:I37"/>
    <mergeCell ref="B41:I41"/>
    <mergeCell ref="B42:I42"/>
    <mergeCell ref="B50:I50"/>
    <mergeCell ref="B57:I57"/>
    <mergeCell ref="B22:I22"/>
    <mergeCell ref="B23:I23"/>
    <mergeCell ref="B24:I24"/>
    <mergeCell ref="B25:I25"/>
    <mergeCell ref="B30:I30"/>
    <mergeCell ref="B33:I33"/>
    <mergeCell ref="B2:I2"/>
    <mergeCell ref="B6:I6"/>
    <mergeCell ref="B7:I7"/>
    <mergeCell ref="B11:I11"/>
    <mergeCell ref="B14:I14"/>
    <mergeCell ref="B18:I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1877-2B40-4A8C-94DE-17BD91FE3174}">
  <sheetPr codeName="Sheet1"/>
  <dimension ref="A3:A52"/>
  <sheetViews>
    <sheetView topLeftCell="A39" workbookViewId="0">
      <selection activeCell="C3" sqref="C3"/>
    </sheetView>
  </sheetViews>
  <sheetFormatPr defaultRowHeight="14.4"/>
  <cols>
    <col min="1" max="1" width="71.109375" customWidth="1"/>
  </cols>
  <sheetData>
    <row r="3" spans="1:1" ht="17.399999999999999">
      <c r="A3" s="320" t="s">
        <v>599</v>
      </c>
    </row>
    <row r="4" spans="1:1">
      <c r="A4" s="319"/>
    </row>
    <row r="5" spans="1:1">
      <c r="A5" s="321" t="s">
        <v>600</v>
      </c>
    </row>
    <row r="6" spans="1:1">
      <c r="A6" s="334"/>
    </row>
    <row r="7" spans="1:1">
      <c r="A7" s="319"/>
    </row>
    <row r="8" spans="1:1">
      <c r="A8" s="321" t="s">
        <v>601</v>
      </c>
    </row>
    <row r="9" spans="1:1">
      <c r="A9" s="333"/>
    </row>
    <row r="10" spans="1:1">
      <c r="A10" s="319"/>
    </row>
    <row r="11" spans="1:1" ht="20.399999999999999">
      <c r="A11" s="321" t="s">
        <v>602</v>
      </c>
    </row>
    <row r="12" spans="1:1">
      <c r="A12" s="323" t="s">
        <v>6</v>
      </c>
    </row>
    <row r="13" spans="1:1">
      <c r="A13" s="319"/>
    </row>
    <row r="14" spans="1:1">
      <c r="A14" s="321" t="s">
        <v>603</v>
      </c>
    </row>
    <row r="15" spans="1:1">
      <c r="A15" s="323" t="s">
        <v>6</v>
      </c>
    </row>
    <row r="16" spans="1:1">
      <c r="A16" s="319"/>
    </row>
    <row r="17" spans="1:1" ht="30.6">
      <c r="A17" s="321" t="s">
        <v>604</v>
      </c>
    </row>
    <row r="18" spans="1:1">
      <c r="A18" s="333"/>
    </row>
    <row r="19" spans="1:1">
      <c r="A19" s="319"/>
    </row>
    <row r="20" spans="1:1">
      <c r="A20" s="321" t="s">
        <v>605</v>
      </c>
    </row>
    <row r="21" spans="1:1">
      <c r="A21" s="334"/>
    </row>
    <row r="22" spans="1:1">
      <c r="A22" s="319"/>
    </row>
    <row r="23" spans="1:1" ht="20.399999999999999">
      <c r="A23" s="321" t="s">
        <v>606</v>
      </c>
    </row>
    <row r="24" spans="1:1">
      <c r="A24" s="334"/>
    </row>
    <row r="25" spans="1:1">
      <c r="A25" s="319"/>
    </row>
    <row r="26" spans="1:1">
      <c r="A26" s="324" t="s">
        <v>607</v>
      </c>
    </row>
    <row r="27" spans="1:1">
      <c r="A27" s="325"/>
    </row>
    <row r="28" spans="1:1">
      <c r="A28" s="319"/>
    </row>
    <row r="29" spans="1:1">
      <c r="A29" s="324" t="s">
        <v>608</v>
      </c>
    </row>
    <row r="30" spans="1:1">
      <c r="A30" s="325"/>
    </row>
    <row r="31" spans="1:1">
      <c r="A31" s="319"/>
    </row>
    <row r="32" spans="1:1">
      <c r="A32" s="324" t="s">
        <v>609</v>
      </c>
    </row>
    <row r="33" spans="1:1">
      <c r="A33" s="325"/>
    </row>
    <row r="34" spans="1:1">
      <c r="A34" s="319"/>
    </row>
    <row r="35" spans="1:1">
      <c r="A35" s="324" t="s">
        <v>610</v>
      </c>
    </row>
    <row r="36" spans="1:1">
      <c r="A36" s="325"/>
    </row>
    <row r="37" spans="1:1">
      <c r="A37" s="319"/>
    </row>
    <row r="38" spans="1:1">
      <c r="A38" s="324" t="s">
        <v>611</v>
      </c>
    </row>
    <row r="39" spans="1:1">
      <c r="A39" s="322"/>
    </row>
    <row r="40" spans="1:1" ht="26.4">
      <c r="A40" s="326" t="s">
        <v>612</v>
      </c>
    </row>
    <row r="41" spans="1:1">
      <c r="A41" s="322"/>
    </row>
    <row r="42" spans="1:1" ht="26.4">
      <c r="A42" s="327" t="s">
        <v>613</v>
      </c>
    </row>
    <row r="43" spans="1:1" ht="26.4">
      <c r="A43" s="327" t="s">
        <v>614</v>
      </c>
    </row>
    <row r="44" spans="1:1">
      <c r="A44" s="322"/>
    </row>
    <row r="45" spans="1:1" ht="103.8">
      <c r="A45" s="328" t="s">
        <v>615</v>
      </c>
    </row>
    <row r="46" spans="1:1">
      <c r="A46" s="329"/>
    </row>
    <row r="47" spans="1:1" ht="28.8">
      <c r="A47" s="330" t="s">
        <v>616</v>
      </c>
    </row>
    <row r="48" spans="1:1">
      <c r="A48" s="330"/>
    </row>
    <row r="49" spans="1:1" ht="28.8">
      <c r="A49" s="330" t="s">
        <v>617</v>
      </c>
    </row>
    <row r="50" spans="1:1" ht="28.8">
      <c r="A50" s="330" t="s">
        <v>618</v>
      </c>
    </row>
    <row r="51" spans="1:1">
      <c r="A51" s="331"/>
    </row>
    <row r="52" spans="1:1">
      <c r="A52" s="332"/>
    </row>
  </sheetData>
  <hyperlinks>
    <hyperlink ref="A47" r:id="rId1" tooltip="Go to Sitemap Page" display="https://investor.sebi.gov.in/sitemap.html" xr:uid="{79079A59-CE85-4E35-BC01-CAD524CAAAFF}"/>
    <hyperlink ref="A49" r:id="rId2" tooltip="Go to Contact Us Page" display="https://www.sebi.gov.in/contact-us.html" xr:uid="{B8673520-B12C-4C5D-83AF-47C7F641A7F6}"/>
    <hyperlink ref="A50" r:id="rId3" tooltip="Go to Disclaimer Page" display="https://investor.sebi.gov.in/disclaimer.html" xr:uid="{FC5C0DB6-B140-4CC6-81B8-43740F4BD3CE}"/>
    <hyperlink ref="A51" r:id="rId4" display="https://investor.sebi.gov.in/calculators/Insurance_Calculator_YoungEarners.html" xr:uid="{68D4D144-5BB5-4815-8B45-8DE6F091F738}"/>
  </hyperlinks>
  <pageMargins left="0.7" right="0.7" top="0.75" bottom="0.75" header="0.3" footer="0.3"/>
  <drawing r:id="rId5"/>
  <legacyDrawing r:id="rId6"/>
  <controls>
    <mc:AlternateContent xmlns:mc="http://schemas.openxmlformats.org/markup-compatibility/2006">
      <mc:Choice Requires="x14">
        <control shapeId="11273" r:id="rId7" name="Control 9">
          <controlPr defaultSize="0" r:id="rId8">
            <anchor moveWithCells="1">
              <from>
                <xdr:col>0</xdr:col>
                <xdr:colOff>0</xdr:colOff>
                <xdr:row>23</xdr:row>
                <xdr:rowOff>0</xdr:rowOff>
              </from>
              <to>
                <xdr:col>0</xdr:col>
                <xdr:colOff>914400</xdr:colOff>
                <xdr:row>24</xdr:row>
                <xdr:rowOff>45720</xdr:rowOff>
              </to>
            </anchor>
          </controlPr>
        </control>
      </mc:Choice>
      <mc:Fallback>
        <control shapeId="11273" r:id="rId7" name="Control 9"/>
      </mc:Fallback>
    </mc:AlternateContent>
    <mc:AlternateContent xmlns:mc="http://schemas.openxmlformats.org/markup-compatibility/2006">
      <mc:Choice Requires="x14">
        <control shapeId="11272" r:id="rId9" name="Control 8">
          <controlPr defaultSize="0" r:id="rId8">
            <anchor moveWithCells="1">
              <from>
                <xdr:col>0</xdr:col>
                <xdr:colOff>0</xdr:colOff>
                <xdr:row>20</xdr:row>
                <xdr:rowOff>0</xdr:rowOff>
              </from>
              <to>
                <xdr:col>0</xdr:col>
                <xdr:colOff>914400</xdr:colOff>
                <xdr:row>21</xdr:row>
                <xdr:rowOff>45720</xdr:rowOff>
              </to>
            </anchor>
          </controlPr>
        </control>
      </mc:Choice>
      <mc:Fallback>
        <control shapeId="11272" r:id="rId9" name="Control 8"/>
      </mc:Fallback>
    </mc:AlternateContent>
    <mc:AlternateContent xmlns:mc="http://schemas.openxmlformats.org/markup-compatibility/2006">
      <mc:Choice Requires="x14">
        <control shapeId="11271" r:id="rId10" name="Control 7">
          <controlPr defaultSize="0" r:id="rId8">
            <anchor moveWithCells="1">
              <from>
                <xdr:col>0</xdr:col>
                <xdr:colOff>0</xdr:colOff>
                <xdr:row>17</xdr:row>
                <xdr:rowOff>0</xdr:rowOff>
              </from>
              <to>
                <xdr:col>0</xdr:col>
                <xdr:colOff>914400</xdr:colOff>
                <xdr:row>18</xdr:row>
                <xdr:rowOff>45720</xdr:rowOff>
              </to>
            </anchor>
          </controlPr>
        </control>
      </mc:Choice>
      <mc:Fallback>
        <control shapeId="11271" r:id="rId10" name="Control 7"/>
      </mc:Fallback>
    </mc:AlternateContent>
    <mc:AlternateContent xmlns:mc="http://schemas.openxmlformats.org/markup-compatibility/2006">
      <mc:Choice Requires="x14">
        <control shapeId="11270" r:id="rId11" name="Control 6">
          <controlPr defaultSize="0" r:id="rId8">
            <anchor moveWithCells="1">
              <from>
                <xdr:col>0</xdr:col>
                <xdr:colOff>0</xdr:colOff>
                <xdr:row>14</xdr:row>
                <xdr:rowOff>0</xdr:rowOff>
              </from>
              <to>
                <xdr:col>0</xdr:col>
                <xdr:colOff>914400</xdr:colOff>
                <xdr:row>15</xdr:row>
                <xdr:rowOff>45720</xdr:rowOff>
              </to>
            </anchor>
          </controlPr>
        </control>
      </mc:Choice>
      <mc:Fallback>
        <control shapeId="11270" r:id="rId11" name="Control 6"/>
      </mc:Fallback>
    </mc:AlternateContent>
    <mc:AlternateContent xmlns:mc="http://schemas.openxmlformats.org/markup-compatibility/2006">
      <mc:Choice Requires="x14">
        <control shapeId="11269" r:id="rId12" name="Control 5">
          <controlPr defaultSize="0" r:id="rId8">
            <anchor moveWithCells="1">
              <from>
                <xdr:col>0</xdr:col>
                <xdr:colOff>0</xdr:colOff>
                <xdr:row>11</xdr:row>
                <xdr:rowOff>0</xdr:rowOff>
              </from>
              <to>
                <xdr:col>0</xdr:col>
                <xdr:colOff>914400</xdr:colOff>
                <xdr:row>12</xdr:row>
                <xdr:rowOff>45720</xdr:rowOff>
              </to>
            </anchor>
          </controlPr>
        </control>
      </mc:Choice>
      <mc:Fallback>
        <control shapeId="11269" r:id="rId12" name="Control 5"/>
      </mc:Fallback>
    </mc:AlternateContent>
    <mc:AlternateContent xmlns:mc="http://schemas.openxmlformats.org/markup-compatibility/2006">
      <mc:Choice Requires="x14">
        <control shapeId="11268" r:id="rId13" name="Control 4">
          <controlPr defaultSize="0" r:id="rId8">
            <anchor moveWithCells="1">
              <from>
                <xdr:col>0</xdr:col>
                <xdr:colOff>0</xdr:colOff>
                <xdr:row>8</xdr:row>
                <xdr:rowOff>0</xdr:rowOff>
              </from>
              <to>
                <xdr:col>0</xdr:col>
                <xdr:colOff>914400</xdr:colOff>
                <xdr:row>9</xdr:row>
                <xdr:rowOff>45720</xdr:rowOff>
              </to>
            </anchor>
          </controlPr>
        </control>
      </mc:Choice>
      <mc:Fallback>
        <control shapeId="11268" r:id="rId13" name="Control 4"/>
      </mc:Fallback>
    </mc:AlternateContent>
    <mc:AlternateContent xmlns:mc="http://schemas.openxmlformats.org/markup-compatibility/2006">
      <mc:Choice Requires="x14">
        <control shapeId="11267" r:id="rId14" name="Control 3">
          <controlPr defaultSize="0" r:id="rId8">
            <anchor moveWithCells="1">
              <from>
                <xdr:col>0</xdr:col>
                <xdr:colOff>0</xdr:colOff>
                <xdr:row>5</xdr:row>
                <xdr:rowOff>0</xdr:rowOff>
              </from>
              <to>
                <xdr:col>0</xdr:col>
                <xdr:colOff>914400</xdr:colOff>
                <xdr:row>6</xdr:row>
                <xdr:rowOff>45720</xdr:rowOff>
              </to>
            </anchor>
          </controlPr>
        </control>
      </mc:Choice>
      <mc:Fallback>
        <control shapeId="11267" r:id="rId14" name="Control 3"/>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640B-7C32-4B1D-AFC6-3F090688E76F}">
  <sheetPr codeName="Sheet4"/>
  <dimension ref="A1:D165"/>
  <sheetViews>
    <sheetView tabSelected="1" workbookViewId="0">
      <selection sqref="A1:B1048576"/>
    </sheetView>
  </sheetViews>
  <sheetFormatPr defaultRowHeight="14.4"/>
  <sheetData>
    <row r="1" spans="1:4" ht="17.399999999999999">
      <c r="A1" s="320"/>
    </row>
    <row r="2" spans="1:4">
      <c r="A2" s="319"/>
      <c r="D2" t="s">
        <v>636</v>
      </c>
    </row>
    <row r="3" spans="1:4">
      <c r="A3" s="324"/>
    </row>
    <row r="4" spans="1:4">
      <c r="A4" s="321"/>
    </row>
    <row r="5" spans="1:4">
      <c r="A5" s="334"/>
    </row>
    <row r="6" spans="1:4">
      <c r="A6" s="319"/>
    </row>
    <row r="7" spans="1:4">
      <c r="A7" s="321"/>
    </row>
    <row r="8" spans="1:4">
      <c r="A8" s="345"/>
    </row>
    <row r="9" spans="1:4">
      <c r="A9" s="345"/>
    </row>
    <row r="10" spans="1:4">
      <c r="A10" s="345"/>
    </row>
    <row r="11" spans="1:4">
      <c r="A11" s="333"/>
    </row>
    <row r="12" spans="1:4">
      <c r="A12" s="333"/>
    </row>
    <row r="13" spans="1:4">
      <c r="A13" s="319"/>
    </row>
    <row r="14" spans="1:4">
      <c r="A14" s="321"/>
    </row>
    <row r="15" spans="1:4">
      <c r="A15" s="345"/>
    </row>
    <row r="16" spans="1:4">
      <c r="A16" s="333"/>
    </row>
    <row r="17" spans="1:1">
      <c r="A17" s="323"/>
    </row>
    <row r="18" spans="1:1">
      <c r="A18" s="319"/>
    </row>
    <row r="19" spans="1:1">
      <c r="A19" s="321"/>
    </row>
    <row r="20" spans="1:1">
      <c r="A20" s="323"/>
    </row>
    <row r="21" spans="1:1">
      <c r="A21" s="319"/>
    </row>
    <row r="22" spans="1:1">
      <c r="A22" s="321"/>
    </row>
    <row r="23" spans="1:1">
      <c r="A23" s="345"/>
    </row>
    <row r="24" spans="1:1">
      <c r="A24" s="333"/>
    </row>
    <row r="25" spans="1:1">
      <c r="A25" s="333"/>
    </row>
    <row r="26" spans="1:1">
      <c r="A26" s="319"/>
    </row>
    <row r="27" spans="1:1">
      <c r="A27" s="321"/>
    </row>
    <row r="28" spans="1:1">
      <c r="A28" s="345"/>
    </row>
    <row r="29" spans="1:1">
      <c r="A29" s="334"/>
    </row>
    <row r="30" spans="1:1">
      <c r="A30" s="334"/>
    </row>
    <row r="31" spans="1:1">
      <c r="A31" s="319"/>
    </row>
    <row r="32" spans="1:1">
      <c r="A32" s="321"/>
    </row>
    <row r="33" spans="1:1">
      <c r="A33" s="345"/>
    </row>
    <row r="34" spans="1:1">
      <c r="A34" s="334"/>
    </row>
    <row r="35" spans="1:1">
      <c r="A35" s="334"/>
    </row>
    <row r="36" spans="1:1">
      <c r="A36" s="319"/>
    </row>
    <row r="37" spans="1:1">
      <c r="A37" s="324"/>
    </row>
    <row r="38" spans="1:1">
      <c r="A38" s="321"/>
    </row>
    <row r="39" spans="1:1">
      <c r="A39" s="334"/>
    </row>
    <row r="40" spans="1:1">
      <c r="A40" s="319"/>
    </row>
    <row r="41" spans="1:1">
      <c r="A41" s="321"/>
    </row>
    <row r="42" spans="1:1">
      <c r="A42" s="323"/>
    </row>
    <row r="43" spans="1:1">
      <c r="A43" s="319"/>
    </row>
    <row r="44" spans="1:1">
      <c r="A44" s="321"/>
    </row>
    <row r="45" spans="1:1">
      <c r="A45" s="345"/>
    </row>
    <row r="46" spans="1:1">
      <c r="A46" s="333"/>
    </row>
    <row r="47" spans="1:1">
      <c r="A47" s="333"/>
    </row>
    <row r="48" spans="1:1">
      <c r="A48" s="319"/>
    </row>
    <row r="49" spans="1:1">
      <c r="A49" s="321"/>
    </row>
    <row r="50" spans="1:1">
      <c r="A50" s="345"/>
    </row>
    <row r="51" spans="1:1">
      <c r="A51" s="334"/>
    </row>
    <row r="52" spans="1:1">
      <c r="A52" s="334"/>
    </row>
    <row r="53" spans="1:1">
      <c r="A53" s="319"/>
    </row>
    <row r="54" spans="1:1">
      <c r="A54" s="321"/>
    </row>
    <row r="55" spans="1:1">
      <c r="A55" s="323"/>
    </row>
    <row r="56" spans="1:1">
      <c r="A56" s="319"/>
    </row>
    <row r="57" spans="1:1">
      <c r="A57" s="321"/>
    </row>
    <row r="58" spans="1:1">
      <c r="A58" s="345"/>
    </row>
    <row r="59" spans="1:1">
      <c r="A59" s="333"/>
    </row>
    <row r="60" spans="1:1">
      <c r="A60" s="333"/>
    </row>
    <row r="61" spans="1:1">
      <c r="A61" s="319"/>
    </row>
    <row r="62" spans="1:1">
      <c r="A62" s="321"/>
    </row>
    <row r="63" spans="1:1">
      <c r="A63" s="323"/>
    </row>
    <row r="64" spans="1:1">
      <c r="A64" s="319"/>
    </row>
    <row r="65" spans="1:1">
      <c r="A65" s="324"/>
    </row>
    <row r="66" spans="1:1">
      <c r="A66" s="319"/>
    </row>
    <row r="67" spans="1:1">
      <c r="A67" s="321"/>
    </row>
    <row r="68" spans="1:1">
      <c r="A68" s="345"/>
    </row>
    <row r="69" spans="1:1">
      <c r="A69" s="334"/>
    </row>
    <row r="70" spans="1:1">
      <c r="A70" s="334"/>
    </row>
    <row r="71" spans="1:1">
      <c r="A71" s="319"/>
    </row>
    <row r="72" spans="1:1">
      <c r="A72" s="321"/>
    </row>
    <row r="73" spans="1:1">
      <c r="A73" s="345"/>
    </row>
    <row r="74" spans="1:1">
      <c r="A74" s="334"/>
    </row>
    <row r="75" spans="1:1">
      <c r="A75" s="334"/>
    </row>
    <row r="76" spans="1:1">
      <c r="A76" s="319"/>
    </row>
    <row r="77" spans="1:1">
      <c r="A77" s="321"/>
    </row>
    <row r="78" spans="1:1">
      <c r="A78" s="323"/>
    </row>
    <row r="79" spans="1:1">
      <c r="A79" s="319"/>
    </row>
    <row r="80" spans="1:1">
      <c r="A80" s="321"/>
    </row>
    <row r="81" spans="1:1">
      <c r="A81" s="323"/>
    </row>
    <row r="82" spans="1:1">
      <c r="A82" s="319"/>
    </row>
    <row r="83" spans="1:1">
      <c r="A83" s="324"/>
    </row>
    <row r="84" spans="1:1">
      <c r="A84" s="345"/>
    </row>
    <row r="85" spans="1:1">
      <c r="A85" s="319"/>
    </row>
    <row r="86" spans="1:1">
      <c r="A86" s="319"/>
    </row>
    <row r="87" spans="1:1">
      <c r="A87" s="321"/>
    </row>
    <row r="88" spans="1:1">
      <c r="A88" s="345"/>
    </row>
    <row r="89" spans="1:1">
      <c r="A89" s="334"/>
    </row>
    <row r="90" spans="1:1">
      <c r="A90" s="334"/>
    </row>
    <row r="91" spans="1:1">
      <c r="A91" s="334"/>
    </row>
    <row r="92" spans="1:1">
      <c r="A92" s="319"/>
    </row>
    <row r="93" spans="1:1">
      <c r="A93" s="321"/>
    </row>
    <row r="94" spans="1:1">
      <c r="A94" s="333"/>
    </row>
    <row r="95" spans="1:1">
      <c r="A95" s="319"/>
    </row>
    <row r="96" spans="1:1">
      <c r="A96" s="321"/>
    </row>
    <row r="97" spans="1:1">
      <c r="A97" s="345"/>
    </row>
    <row r="98" spans="1:1">
      <c r="A98" s="334"/>
    </row>
    <row r="99" spans="1:1">
      <c r="A99" s="334"/>
    </row>
    <row r="100" spans="1:1">
      <c r="A100" s="319"/>
    </row>
    <row r="101" spans="1:1">
      <c r="A101" s="321"/>
    </row>
    <row r="102" spans="1:1">
      <c r="A102" s="333"/>
    </row>
    <row r="103" spans="1:1">
      <c r="A103" s="319"/>
    </row>
    <row r="104" spans="1:1">
      <c r="A104" s="321"/>
    </row>
    <row r="105" spans="1:1">
      <c r="A105" s="323"/>
    </row>
    <row r="106" spans="1:1">
      <c r="A106" s="319"/>
    </row>
    <row r="107" spans="1:1">
      <c r="A107" s="321"/>
    </row>
    <row r="108" spans="1:1">
      <c r="A108" s="323"/>
    </row>
    <row r="109" spans="1:1">
      <c r="A109" s="319"/>
    </row>
    <row r="110" spans="1:1">
      <c r="A110" s="346"/>
    </row>
    <row r="111" spans="1:1">
      <c r="A111" s="319"/>
    </row>
    <row r="112" spans="1:1">
      <c r="A112" s="324"/>
    </row>
    <row r="113" spans="1:1">
      <c r="A113" s="345"/>
    </row>
    <row r="114" spans="1:1">
      <c r="A114" s="322"/>
    </row>
    <row r="115" spans="1:1">
      <c r="A115" s="325"/>
    </row>
    <row r="116" spans="1:1">
      <c r="A116" s="319"/>
    </row>
    <row r="117" spans="1:1">
      <c r="A117" s="324"/>
    </row>
    <row r="118" spans="1:1">
      <c r="A118" s="345"/>
    </row>
    <row r="119" spans="1:1">
      <c r="A119" s="322"/>
    </row>
    <row r="120" spans="1:1">
      <c r="A120" s="325"/>
    </row>
    <row r="121" spans="1:1">
      <c r="A121" s="319"/>
    </row>
    <row r="122" spans="1:1">
      <c r="A122" s="324"/>
    </row>
    <row r="123" spans="1:1">
      <c r="A123" s="345"/>
    </row>
    <row r="124" spans="1:1">
      <c r="A124" s="322"/>
    </row>
    <row r="125" spans="1:1">
      <c r="A125" s="325"/>
    </row>
    <row r="126" spans="1:1">
      <c r="A126" s="319"/>
    </row>
    <row r="127" spans="1:1">
      <c r="A127" s="324"/>
    </row>
    <row r="128" spans="1:1">
      <c r="A128" s="345"/>
    </row>
    <row r="129" spans="1:1">
      <c r="A129" s="322"/>
    </row>
    <row r="130" spans="1:1">
      <c r="A130" s="325"/>
    </row>
    <row r="131" spans="1:1">
      <c r="A131" s="319"/>
    </row>
    <row r="132" spans="1:1">
      <c r="A132" s="324"/>
    </row>
    <row r="133" spans="1:1">
      <c r="A133" s="345"/>
    </row>
    <row r="134" spans="1:1">
      <c r="A134" s="322"/>
    </row>
    <row r="135" spans="1:1">
      <c r="A135" s="325"/>
    </row>
    <row r="136" spans="1:1">
      <c r="A136" s="319"/>
    </row>
    <row r="137" spans="1:1">
      <c r="A137" s="324"/>
    </row>
    <row r="138" spans="1:1">
      <c r="A138" s="345"/>
    </row>
    <row r="139" spans="1:1">
      <c r="A139" s="322"/>
    </row>
    <row r="140" spans="1:1">
      <c r="A140" s="325"/>
    </row>
    <row r="141" spans="1:1">
      <c r="A141" s="319"/>
    </row>
    <row r="142" spans="1:1">
      <c r="A142" s="324"/>
    </row>
    <row r="143" spans="1:1">
      <c r="A143" s="345"/>
    </row>
    <row r="144" spans="1:1">
      <c r="A144" s="322"/>
    </row>
    <row r="145" spans="1:1">
      <c r="A145" s="325"/>
    </row>
    <row r="146" spans="1:1">
      <c r="A146" s="319"/>
    </row>
    <row r="147" spans="1:1">
      <c r="A147" s="324"/>
    </row>
    <row r="148" spans="1:1">
      <c r="A148" s="345"/>
    </row>
    <row r="149" spans="1:1">
      <c r="A149" s="322"/>
    </row>
    <row r="150" spans="1:1">
      <c r="A150" s="325"/>
    </row>
    <row r="151" spans="1:1">
      <c r="A151" s="319"/>
    </row>
    <row r="152" spans="1:1">
      <c r="A152" s="324"/>
    </row>
    <row r="153" spans="1:1">
      <c r="A153" s="325"/>
    </row>
    <row r="154" spans="1:1">
      <c r="A154" s="319"/>
    </row>
    <row r="155" spans="1:1">
      <c r="A155" s="324"/>
    </row>
    <row r="156" spans="1:1">
      <c r="A156" s="325"/>
    </row>
    <row r="157" spans="1:1">
      <c r="A157" s="319"/>
    </row>
    <row r="158" spans="1:1">
      <c r="A158" s="324"/>
    </row>
    <row r="159" spans="1:1">
      <c r="A159" s="325"/>
    </row>
    <row r="160" spans="1:1">
      <c r="A160" s="319"/>
    </row>
    <row r="161" spans="1:1">
      <c r="A161" s="324"/>
    </row>
    <row r="162" spans="1:1">
      <c r="A162" s="325"/>
    </row>
    <row r="163" spans="1:1">
      <c r="A163" s="319"/>
    </row>
    <row r="164" spans="1:1">
      <c r="A164" s="324"/>
    </row>
    <row r="165" spans="1:1">
      <c r="A165" s="325"/>
    </row>
  </sheetData>
  <pageMargins left="0.7" right="0.7" top="0.75" bottom="0.75" header="0.3" footer="0.3"/>
  <drawing r:id="rId1"/>
  <legacyDrawing r:id="rId2"/>
  <controls>
    <mc:AlternateContent xmlns:mc="http://schemas.openxmlformats.org/markup-compatibility/2006">
      <mc:Choice Requires="x14">
        <control shapeId="13336" r:id="rId3" name="Control 24">
          <controlPr defaultSize="0" r:id="rId4">
            <anchor moveWithCells="1">
              <from>
                <xdr:col>0</xdr:col>
                <xdr:colOff>0</xdr:colOff>
                <xdr:row>107</xdr:row>
                <xdr:rowOff>0</xdr:rowOff>
              </from>
              <to>
                <xdr:col>1</xdr:col>
                <xdr:colOff>304800</xdr:colOff>
                <xdr:row>108</xdr:row>
                <xdr:rowOff>45720</xdr:rowOff>
              </to>
            </anchor>
          </controlPr>
        </control>
      </mc:Choice>
      <mc:Fallback>
        <control shapeId="13336" r:id="rId3" name="Control 24"/>
      </mc:Fallback>
    </mc:AlternateContent>
    <mc:AlternateContent xmlns:mc="http://schemas.openxmlformats.org/markup-compatibility/2006">
      <mc:Choice Requires="x14">
        <control shapeId="13335" r:id="rId5" name="Control 23">
          <controlPr defaultSize="0" r:id="rId4">
            <anchor moveWithCells="1">
              <from>
                <xdr:col>0</xdr:col>
                <xdr:colOff>0</xdr:colOff>
                <xdr:row>104</xdr:row>
                <xdr:rowOff>0</xdr:rowOff>
              </from>
              <to>
                <xdr:col>1</xdr:col>
                <xdr:colOff>304800</xdr:colOff>
                <xdr:row>105</xdr:row>
                <xdr:rowOff>45720</xdr:rowOff>
              </to>
            </anchor>
          </controlPr>
        </control>
      </mc:Choice>
      <mc:Fallback>
        <control shapeId="13335" r:id="rId5" name="Control 23"/>
      </mc:Fallback>
    </mc:AlternateContent>
    <mc:AlternateContent xmlns:mc="http://schemas.openxmlformats.org/markup-compatibility/2006">
      <mc:Choice Requires="x14">
        <control shapeId="13334" r:id="rId6" name="Control 22">
          <controlPr defaultSize="0" r:id="rId4">
            <anchor moveWithCells="1">
              <from>
                <xdr:col>0</xdr:col>
                <xdr:colOff>0</xdr:colOff>
                <xdr:row>101</xdr:row>
                <xdr:rowOff>0</xdr:rowOff>
              </from>
              <to>
                <xdr:col>1</xdr:col>
                <xdr:colOff>304800</xdr:colOff>
                <xdr:row>102</xdr:row>
                <xdr:rowOff>45720</xdr:rowOff>
              </to>
            </anchor>
          </controlPr>
        </control>
      </mc:Choice>
      <mc:Fallback>
        <control shapeId="13334" r:id="rId6" name="Control 22"/>
      </mc:Fallback>
    </mc:AlternateContent>
    <mc:AlternateContent xmlns:mc="http://schemas.openxmlformats.org/markup-compatibility/2006">
      <mc:Choice Requires="x14">
        <control shapeId="13333" r:id="rId7" name="Control 21">
          <controlPr defaultSize="0" r:id="rId4">
            <anchor moveWithCells="1">
              <from>
                <xdr:col>0</xdr:col>
                <xdr:colOff>0</xdr:colOff>
                <xdr:row>98</xdr:row>
                <xdr:rowOff>0</xdr:rowOff>
              </from>
              <to>
                <xdr:col>1</xdr:col>
                <xdr:colOff>304800</xdr:colOff>
                <xdr:row>99</xdr:row>
                <xdr:rowOff>45720</xdr:rowOff>
              </to>
            </anchor>
          </controlPr>
        </control>
      </mc:Choice>
      <mc:Fallback>
        <control shapeId="13333" r:id="rId7" name="Control 21"/>
      </mc:Fallback>
    </mc:AlternateContent>
    <mc:AlternateContent xmlns:mc="http://schemas.openxmlformats.org/markup-compatibility/2006">
      <mc:Choice Requires="x14">
        <control shapeId="13332" r:id="rId8" name="Control 20">
          <controlPr defaultSize="0" r:id="rId4">
            <anchor moveWithCells="1">
              <from>
                <xdr:col>0</xdr:col>
                <xdr:colOff>0</xdr:colOff>
                <xdr:row>93</xdr:row>
                <xdr:rowOff>0</xdr:rowOff>
              </from>
              <to>
                <xdr:col>1</xdr:col>
                <xdr:colOff>304800</xdr:colOff>
                <xdr:row>94</xdr:row>
                <xdr:rowOff>45720</xdr:rowOff>
              </to>
            </anchor>
          </controlPr>
        </control>
      </mc:Choice>
      <mc:Fallback>
        <control shapeId="13332" r:id="rId8" name="Control 20"/>
      </mc:Fallback>
    </mc:AlternateContent>
    <mc:AlternateContent xmlns:mc="http://schemas.openxmlformats.org/markup-compatibility/2006">
      <mc:Choice Requires="x14">
        <control shapeId="13331" r:id="rId9" name="Control 19">
          <controlPr defaultSize="0" r:id="rId4">
            <anchor moveWithCells="1">
              <from>
                <xdr:col>0</xdr:col>
                <xdr:colOff>0</xdr:colOff>
                <xdr:row>90</xdr:row>
                <xdr:rowOff>0</xdr:rowOff>
              </from>
              <to>
                <xdr:col>1</xdr:col>
                <xdr:colOff>304800</xdr:colOff>
                <xdr:row>91</xdr:row>
                <xdr:rowOff>45720</xdr:rowOff>
              </to>
            </anchor>
          </controlPr>
        </control>
      </mc:Choice>
      <mc:Fallback>
        <control shapeId="13331" r:id="rId9" name="Control 19"/>
      </mc:Fallback>
    </mc:AlternateContent>
    <mc:AlternateContent xmlns:mc="http://schemas.openxmlformats.org/markup-compatibility/2006">
      <mc:Choice Requires="x14">
        <control shapeId="13330" r:id="rId10" name="Control 18">
          <controlPr defaultSize="0" r:id="rId4">
            <anchor moveWithCells="1">
              <from>
                <xdr:col>0</xdr:col>
                <xdr:colOff>0</xdr:colOff>
                <xdr:row>80</xdr:row>
                <xdr:rowOff>0</xdr:rowOff>
              </from>
              <to>
                <xdr:col>1</xdr:col>
                <xdr:colOff>304800</xdr:colOff>
                <xdr:row>81</xdr:row>
                <xdr:rowOff>45720</xdr:rowOff>
              </to>
            </anchor>
          </controlPr>
        </control>
      </mc:Choice>
      <mc:Fallback>
        <control shapeId="13330" r:id="rId10" name="Control 18"/>
      </mc:Fallback>
    </mc:AlternateContent>
    <mc:AlternateContent xmlns:mc="http://schemas.openxmlformats.org/markup-compatibility/2006">
      <mc:Choice Requires="x14">
        <control shapeId="13329" r:id="rId11" name="Control 17">
          <controlPr defaultSize="0" r:id="rId4">
            <anchor moveWithCells="1">
              <from>
                <xdr:col>0</xdr:col>
                <xdr:colOff>0</xdr:colOff>
                <xdr:row>77</xdr:row>
                <xdr:rowOff>0</xdr:rowOff>
              </from>
              <to>
                <xdr:col>1</xdr:col>
                <xdr:colOff>304800</xdr:colOff>
                <xdr:row>78</xdr:row>
                <xdr:rowOff>45720</xdr:rowOff>
              </to>
            </anchor>
          </controlPr>
        </control>
      </mc:Choice>
      <mc:Fallback>
        <control shapeId="13329" r:id="rId11" name="Control 17"/>
      </mc:Fallback>
    </mc:AlternateContent>
    <mc:AlternateContent xmlns:mc="http://schemas.openxmlformats.org/markup-compatibility/2006">
      <mc:Choice Requires="x14">
        <control shapeId="13328" r:id="rId12" name="Control 16">
          <controlPr defaultSize="0" r:id="rId4">
            <anchor moveWithCells="1">
              <from>
                <xdr:col>0</xdr:col>
                <xdr:colOff>0</xdr:colOff>
                <xdr:row>74</xdr:row>
                <xdr:rowOff>0</xdr:rowOff>
              </from>
              <to>
                <xdr:col>1</xdr:col>
                <xdr:colOff>304800</xdr:colOff>
                <xdr:row>75</xdr:row>
                <xdr:rowOff>45720</xdr:rowOff>
              </to>
            </anchor>
          </controlPr>
        </control>
      </mc:Choice>
      <mc:Fallback>
        <control shapeId="13328" r:id="rId12" name="Control 16"/>
      </mc:Fallback>
    </mc:AlternateContent>
    <mc:AlternateContent xmlns:mc="http://schemas.openxmlformats.org/markup-compatibility/2006">
      <mc:Choice Requires="x14">
        <control shapeId="13327" r:id="rId13" name="Control 15">
          <controlPr defaultSize="0" r:id="rId4">
            <anchor moveWithCells="1">
              <from>
                <xdr:col>0</xdr:col>
                <xdr:colOff>0</xdr:colOff>
                <xdr:row>69</xdr:row>
                <xdr:rowOff>0</xdr:rowOff>
              </from>
              <to>
                <xdr:col>1</xdr:col>
                <xdr:colOff>304800</xdr:colOff>
                <xdr:row>70</xdr:row>
                <xdr:rowOff>45720</xdr:rowOff>
              </to>
            </anchor>
          </controlPr>
        </control>
      </mc:Choice>
      <mc:Fallback>
        <control shapeId="13327" r:id="rId13" name="Control 15"/>
      </mc:Fallback>
    </mc:AlternateContent>
    <mc:AlternateContent xmlns:mc="http://schemas.openxmlformats.org/markup-compatibility/2006">
      <mc:Choice Requires="x14">
        <control shapeId="13326" r:id="rId14" name="Control 14">
          <controlPr defaultSize="0" r:id="rId4">
            <anchor moveWithCells="1">
              <from>
                <xdr:col>0</xdr:col>
                <xdr:colOff>0</xdr:colOff>
                <xdr:row>62</xdr:row>
                <xdr:rowOff>0</xdr:rowOff>
              </from>
              <to>
                <xdr:col>1</xdr:col>
                <xdr:colOff>304800</xdr:colOff>
                <xdr:row>63</xdr:row>
                <xdr:rowOff>45720</xdr:rowOff>
              </to>
            </anchor>
          </controlPr>
        </control>
      </mc:Choice>
      <mc:Fallback>
        <control shapeId="13326" r:id="rId14" name="Control 14"/>
      </mc:Fallback>
    </mc:AlternateContent>
    <mc:AlternateContent xmlns:mc="http://schemas.openxmlformats.org/markup-compatibility/2006">
      <mc:Choice Requires="x14">
        <control shapeId="13325" r:id="rId15" name="Control 13">
          <controlPr defaultSize="0" r:id="rId4">
            <anchor moveWithCells="1">
              <from>
                <xdr:col>0</xdr:col>
                <xdr:colOff>0</xdr:colOff>
                <xdr:row>59</xdr:row>
                <xdr:rowOff>0</xdr:rowOff>
              </from>
              <to>
                <xdr:col>1</xdr:col>
                <xdr:colOff>304800</xdr:colOff>
                <xdr:row>60</xdr:row>
                <xdr:rowOff>45720</xdr:rowOff>
              </to>
            </anchor>
          </controlPr>
        </control>
      </mc:Choice>
      <mc:Fallback>
        <control shapeId="13325" r:id="rId15" name="Control 13"/>
      </mc:Fallback>
    </mc:AlternateContent>
    <mc:AlternateContent xmlns:mc="http://schemas.openxmlformats.org/markup-compatibility/2006">
      <mc:Choice Requires="x14">
        <control shapeId="13324" r:id="rId16" name="Control 12">
          <controlPr defaultSize="0" r:id="rId4">
            <anchor moveWithCells="1">
              <from>
                <xdr:col>0</xdr:col>
                <xdr:colOff>0</xdr:colOff>
                <xdr:row>54</xdr:row>
                <xdr:rowOff>0</xdr:rowOff>
              </from>
              <to>
                <xdr:col>1</xdr:col>
                <xdr:colOff>304800</xdr:colOff>
                <xdr:row>55</xdr:row>
                <xdr:rowOff>45720</xdr:rowOff>
              </to>
            </anchor>
          </controlPr>
        </control>
      </mc:Choice>
      <mc:Fallback>
        <control shapeId="13324" r:id="rId16" name="Control 12"/>
      </mc:Fallback>
    </mc:AlternateContent>
    <mc:AlternateContent xmlns:mc="http://schemas.openxmlformats.org/markup-compatibility/2006">
      <mc:Choice Requires="x14">
        <control shapeId="13323" r:id="rId17" name="Control 11">
          <controlPr defaultSize="0" r:id="rId4">
            <anchor moveWithCells="1">
              <from>
                <xdr:col>0</xdr:col>
                <xdr:colOff>0</xdr:colOff>
                <xdr:row>51</xdr:row>
                <xdr:rowOff>0</xdr:rowOff>
              </from>
              <to>
                <xdr:col>1</xdr:col>
                <xdr:colOff>304800</xdr:colOff>
                <xdr:row>52</xdr:row>
                <xdr:rowOff>45720</xdr:rowOff>
              </to>
            </anchor>
          </controlPr>
        </control>
      </mc:Choice>
      <mc:Fallback>
        <control shapeId="13323" r:id="rId17" name="Control 11"/>
      </mc:Fallback>
    </mc:AlternateContent>
    <mc:AlternateContent xmlns:mc="http://schemas.openxmlformats.org/markup-compatibility/2006">
      <mc:Choice Requires="x14">
        <control shapeId="13322" r:id="rId18" name="Control 10">
          <controlPr defaultSize="0" r:id="rId4">
            <anchor moveWithCells="1">
              <from>
                <xdr:col>0</xdr:col>
                <xdr:colOff>0</xdr:colOff>
                <xdr:row>46</xdr:row>
                <xdr:rowOff>0</xdr:rowOff>
              </from>
              <to>
                <xdr:col>1</xdr:col>
                <xdr:colOff>304800</xdr:colOff>
                <xdr:row>47</xdr:row>
                <xdr:rowOff>45720</xdr:rowOff>
              </to>
            </anchor>
          </controlPr>
        </control>
      </mc:Choice>
      <mc:Fallback>
        <control shapeId="13322" r:id="rId18" name="Control 10"/>
      </mc:Fallback>
    </mc:AlternateContent>
    <mc:AlternateContent xmlns:mc="http://schemas.openxmlformats.org/markup-compatibility/2006">
      <mc:Choice Requires="x14">
        <control shapeId="13321" r:id="rId19" name="Control 9">
          <controlPr defaultSize="0" r:id="rId4">
            <anchor moveWithCells="1">
              <from>
                <xdr:col>0</xdr:col>
                <xdr:colOff>0</xdr:colOff>
                <xdr:row>41</xdr:row>
                <xdr:rowOff>0</xdr:rowOff>
              </from>
              <to>
                <xdr:col>1</xdr:col>
                <xdr:colOff>304800</xdr:colOff>
                <xdr:row>42</xdr:row>
                <xdr:rowOff>45720</xdr:rowOff>
              </to>
            </anchor>
          </controlPr>
        </control>
      </mc:Choice>
      <mc:Fallback>
        <control shapeId="13321" r:id="rId19" name="Control 9"/>
      </mc:Fallback>
    </mc:AlternateContent>
    <mc:AlternateContent xmlns:mc="http://schemas.openxmlformats.org/markup-compatibility/2006">
      <mc:Choice Requires="x14">
        <control shapeId="13320" r:id="rId20" name="Control 8">
          <controlPr defaultSize="0" r:id="rId4">
            <anchor moveWithCells="1">
              <from>
                <xdr:col>0</xdr:col>
                <xdr:colOff>0</xdr:colOff>
                <xdr:row>38</xdr:row>
                <xdr:rowOff>0</xdr:rowOff>
              </from>
              <to>
                <xdr:col>1</xdr:col>
                <xdr:colOff>304800</xdr:colOff>
                <xdr:row>39</xdr:row>
                <xdr:rowOff>45720</xdr:rowOff>
              </to>
            </anchor>
          </controlPr>
        </control>
      </mc:Choice>
      <mc:Fallback>
        <control shapeId="13320" r:id="rId20" name="Control 8"/>
      </mc:Fallback>
    </mc:AlternateContent>
    <mc:AlternateContent xmlns:mc="http://schemas.openxmlformats.org/markup-compatibility/2006">
      <mc:Choice Requires="x14">
        <control shapeId="13319" r:id="rId21" name="Control 7">
          <controlPr defaultSize="0" r:id="rId4">
            <anchor moveWithCells="1">
              <from>
                <xdr:col>0</xdr:col>
                <xdr:colOff>0</xdr:colOff>
                <xdr:row>34</xdr:row>
                <xdr:rowOff>0</xdr:rowOff>
              </from>
              <to>
                <xdr:col>1</xdr:col>
                <xdr:colOff>304800</xdr:colOff>
                <xdr:row>35</xdr:row>
                <xdr:rowOff>45720</xdr:rowOff>
              </to>
            </anchor>
          </controlPr>
        </control>
      </mc:Choice>
      <mc:Fallback>
        <control shapeId="13319" r:id="rId21" name="Control 7"/>
      </mc:Fallback>
    </mc:AlternateContent>
    <mc:AlternateContent xmlns:mc="http://schemas.openxmlformats.org/markup-compatibility/2006">
      <mc:Choice Requires="x14">
        <control shapeId="13318" r:id="rId22" name="Control 6">
          <controlPr defaultSize="0" r:id="rId4">
            <anchor moveWithCells="1">
              <from>
                <xdr:col>0</xdr:col>
                <xdr:colOff>0</xdr:colOff>
                <xdr:row>29</xdr:row>
                <xdr:rowOff>0</xdr:rowOff>
              </from>
              <to>
                <xdr:col>1</xdr:col>
                <xdr:colOff>304800</xdr:colOff>
                <xdr:row>30</xdr:row>
                <xdr:rowOff>45720</xdr:rowOff>
              </to>
            </anchor>
          </controlPr>
        </control>
      </mc:Choice>
      <mc:Fallback>
        <control shapeId="13318" r:id="rId22" name="Control 6"/>
      </mc:Fallback>
    </mc:AlternateContent>
    <mc:AlternateContent xmlns:mc="http://schemas.openxmlformats.org/markup-compatibility/2006">
      <mc:Choice Requires="x14">
        <control shapeId="13317" r:id="rId23" name="Control 5">
          <controlPr defaultSize="0" r:id="rId4">
            <anchor moveWithCells="1">
              <from>
                <xdr:col>0</xdr:col>
                <xdr:colOff>0</xdr:colOff>
                <xdr:row>24</xdr:row>
                <xdr:rowOff>0</xdr:rowOff>
              </from>
              <to>
                <xdr:col>1</xdr:col>
                <xdr:colOff>304800</xdr:colOff>
                <xdr:row>25</xdr:row>
                <xdr:rowOff>45720</xdr:rowOff>
              </to>
            </anchor>
          </controlPr>
        </control>
      </mc:Choice>
      <mc:Fallback>
        <control shapeId="13317" r:id="rId23" name="Control 5"/>
      </mc:Fallback>
    </mc:AlternateContent>
    <mc:AlternateContent xmlns:mc="http://schemas.openxmlformats.org/markup-compatibility/2006">
      <mc:Choice Requires="x14">
        <control shapeId="13316" r:id="rId24" name="Control 4">
          <controlPr defaultSize="0" r:id="rId4">
            <anchor moveWithCells="1">
              <from>
                <xdr:col>0</xdr:col>
                <xdr:colOff>0</xdr:colOff>
                <xdr:row>19</xdr:row>
                <xdr:rowOff>0</xdr:rowOff>
              </from>
              <to>
                <xdr:col>1</xdr:col>
                <xdr:colOff>304800</xdr:colOff>
                <xdr:row>20</xdr:row>
                <xdr:rowOff>45720</xdr:rowOff>
              </to>
            </anchor>
          </controlPr>
        </control>
      </mc:Choice>
      <mc:Fallback>
        <control shapeId="13316" r:id="rId24" name="Control 4"/>
      </mc:Fallback>
    </mc:AlternateContent>
    <mc:AlternateContent xmlns:mc="http://schemas.openxmlformats.org/markup-compatibility/2006">
      <mc:Choice Requires="x14">
        <control shapeId="13315" r:id="rId25" name="Control 3">
          <controlPr defaultSize="0" r:id="rId4">
            <anchor moveWithCells="1">
              <from>
                <xdr:col>0</xdr:col>
                <xdr:colOff>0</xdr:colOff>
                <xdr:row>16</xdr:row>
                <xdr:rowOff>0</xdr:rowOff>
              </from>
              <to>
                <xdr:col>1</xdr:col>
                <xdr:colOff>304800</xdr:colOff>
                <xdr:row>17</xdr:row>
                <xdr:rowOff>45720</xdr:rowOff>
              </to>
            </anchor>
          </controlPr>
        </control>
      </mc:Choice>
      <mc:Fallback>
        <control shapeId="13315" r:id="rId25" name="Control 3"/>
      </mc:Fallback>
    </mc:AlternateContent>
    <mc:AlternateContent xmlns:mc="http://schemas.openxmlformats.org/markup-compatibility/2006">
      <mc:Choice Requires="x14">
        <control shapeId="13314" r:id="rId26" name="Control 2">
          <controlPr defaultSize="0" r:id="rId4">
            <anchor moveWithCells="1">
              <from>
                <xdr:col>0</xdr:col>
                <xdr:colOff>0</xdr:colOff>
                <xdr:row>11</xdr:row>
                <xdr:rowOff>0</xdr:rowOff>
              </from>
              <to>
                <xdr:col>1</xdr:col>
                <xdr:colOff>304800</xdr:colOff>
                <xdr:row>12</xdr:row>
                <xdr:rowOff>45720</xdr:rowOff>
              </to>
            </anchor>
          </controlPr>
        </control>
      </mc:Choice>
      <mc:Fallback>
        <control shapeId="13314" r:id="rId26" name="Control 2"/>
      </mc:Fallback>
    </mc:AlternateContent>
    <mc:AlternateContent xmlns:mc="http://schemas.openxmlformats.org/markup-compatibility/2006">
      <mc:Choice Requires="x14">
        <control shapeId="13313" r:id="rId27" name="Control 1">
          <controlPr defaultSize="0" r:id="rId4">
            <anchor moveWithCells="1">
              <from>
                <xdr:col>0</xdr:col>
                <xdr:colOff>0</xdr:colOff>
                <xdr:row>4</xdr:row>
                <xdr:rowOff>0</xdr:rowOff>
              </from>
              <to>
                <xdr:col>1</xdr:col>
                <xdr:colOff>304800</xdr:colOff>
                <xdr:row>5</xdr:row>
                <xdr:rowOff>45720</xdr:rowOff>
              </to>
            </anchor>
          </controlPr>
        </control>
      </mc:Choice>
      <mc:Fallback>
        <control shapeId="13313" r:id="rId27"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cost of delay</vt:lpstr>
      <vt:lpstr>FP goal planning -variable AA</vt:lpstr>
      <vt:lpstr>Retirement planning</vt:lpstr>
      <vt:lpstr>Other gols planning</vt:lpstr>
      <vt:lpstr>CFlo</vt:lpstr>
      <vt:lpstr>Fin Health check</vt:lpstr>
      <vt:lpstr>Budgeting tool</vt:lpstr>
      <vt:lpstr>Liabilities</vt:lpstr>
      <vt:lpstr>Networth</vt:lpstr>
      <vt:lpstr>PFperformance</vt:lpstr>
      <vt:lpstr>Insurance</vt:lpstr>
      <vt:lpstr>Insurance for a family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Sankar Venkatraman</cp:lastModifiedBy>
  <dcterms:created xsi:type="dcterms:W3CDTF">2021-08-22T12:58:59Z</dcterms:created>
  <dcterms:modified xsi:type="dcterms:W3CDTF">2026-07-15T06:06:26Z</dcterms:modified>
</cp:coreProperties>
</file>